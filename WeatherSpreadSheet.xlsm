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hys\Desktop\Dnd\5e\DM\Weather\"/>
    </mc:Choice>
  </mc:AlternateContent>
  <bookViews>
    <workbookView xWindow="0" yWindow="0" windowWidth="12570" windowHeight="11910"/>
  </bookViews>
  <sheets>
    <sheet name="Top" sheetId="6" r:id="rId1"/>
    <sheet name="Weather" sheetId="7" r:id="rId2"/>
    <sheet name="WeatherOG" sheetId="1" r:id="rId3"/>
    <sheet name="Calculations" sheetId="2" r:id="rId4"/>
    <sheet name="Mine" sheetId="4" r:id="rId5"/>
    <sheet name="Weather Key" sheetId="3" r:id="rId6"/>
  </sheets>
  <functionGroups builtInGroupCount="18"/>
  <definedNames>
    <definedName name="_xlnm._FilterDatabase" localSheetId="3" hidden="1">Calculations!$G$13:$H$13</definedName>
    <definedName name="_xlnm._FilterDatabase" localSheetId="5" hidden="1">'Weather Key'!$A$1:$N$919</definedName>
  </definedNames>
  <calcPr calcId="152511"/>
</workbook>
</file>

<file path=xl/calcChain.xml><?xml version="1.0" encoding="utf-8"?>
<calcChain xmlns="http://schemas.openxmlformats.org/spreadsheetml/2006/main">
  <c r="D4" i="6" l="1"/>
  <c r="K9" i="1" l="1"/>
  <c r="A8" i="2" l="1"/>
  <c r="A4" i="2"/>
  <c r="A3" i="2"/>
  <c r="A10" i="2"/>
  <c r="A9" i="2"/>
  <c r="A7" i="2"/>
  <c r="A6" i="2"/>
  <c r="A879" i="3" s="1"/>
  <c r="A5" i="2"/>
  <c r="A2" i="2"/>
  <c r="E29" i="2"/>
  <c r="K37" i="2"/>
  <c r="L34" i="2" s="1"/>
  <c r="K28" i="2"/>
  <c r="K29" i="2" s="1"/>
  <c r="H38" i="2"/>
  <c r="I35" i="2" s="1"/>
  <c r="H29" i="2"/>
  <c r="H30" i="2" s="1"/>
  <c r="E39" i="2"/>
  <c r="F35" i="2" s="1"/>
  <c r="B42" i="2"/>
  <c r="C36" i="2" s="1"/>
  <c r="B29" i="2"/>
  <c r="B30" i="2" s="1"/>
  <c r="B11" i="1"/>
  <c r="A835" i="3" l="1"/>
  <c r="J835" i="3" s="1"/>
  <c r="A907" i="3"/>
  <c r="H907" i="3" s="1"/>
  <c r="A798" i="3"/>
  <c r="A832" i="3"/>
  <c r="A799" i="3"/>
  <c r="A795" i="3"/>
  <c r="J795" i="3" s="1"/>
  <c r="A864" i="3"/>
  <c r="A831" i="3"/>
  <c r="L831" i="3" s="1"/>
  <c r="A829" i="3"/>
  <c r="L829" i="3" s="1"/>
  <c r="A874" i="3"/>
  <c r="A773" i="3"/>
  <c r="A894" i="3"/>
  <c r="J894" i="3" s="1"/>
  <c r="A788" i="3"/>
  <c r="A886" i="3"/>
  <c r="L886" i="3" s="1"/>
  <c r="A808" i="3"/>
  <c r="J808" i="3" s="1"/>
  <c r="A797" i="3"/>
  <c r="J797" i="3" s="1"/>
  <c r="A904" i="3"/>
  <c r="A906" i="3"/>
  <c r="H906" i="3" s="1"/>
  <c r="A870" i="3"/>
  <c r="A903" i="3"/>
  <c r="A771" i="3"/>
  <c r="A793" i="3"/>
  <c r="A792" i="3"/>
  <c r="L792" i="3" s="1"/>
  <c r="A794" i="3"/>
  <c r="H794" i="3" s="1"/>
  <c r="A910" i="3"/>
  <c r="N910" i="3" s="1"/>
  <c r="A822" i="3"/>
  <c r="A882" i="3"/>
  <c r="A860" i="3"/>
  <c r="H860" i="3" s="1"/>
  <c r="A884" i="3"/>
  <c r="A13" i="3"/>
  <c r="A50" i="3"/>
  <c r="J50" i="3" s="1"/>
  <c r="A2" i="3"/>
  <c r="N2" i="3" s="1"/>
  <c r="A119" i="3"/>
  <c r="H119" i="3" s="1"/>
  <c r="A26" i="3"/>
  <c r="L26" i="3" s="1"/>
  <c r="A25" i="3"/>
  <c r="J25" i="3" s="1"/>
  <c r="A23" i="3"/>
  <c r="L23" i="3" s="1"/>
  <c r="A61" i="3"/>
  <c r="N61" i="3" s="1"/>
  <c r="A8" i="3"/>
  <c r="A146" i="3"/>
  <c r="N146" i="3" s="1"/>
  <c r="A71" i="3"/>
  <c r="A22" i="3"/>
  <c r="J22" i="3" s="1"/>
  <c r="A57" i="3"/>
  <c r="A58" i="3"/>
  <c r="A19" i="3"/>
  <c r="H19" i="3" s="1"/>
  <c r="A32" i="3"/>
  <c r="A69" i="3"/>
  <c r="A7" i="3"/>
  <c r="N7" i="3" s="1"/>
  <c r="A72" i="3"/>
  <c r="J72" i="3" s="1"/>
  <c r="A143" i="3"/>
  <c r="H143" i="3" s="1"/>
  <c r="A89" i="3"/>
  <c r="H89" i="3" s="1"/>
  <c r="A125" i="3"/>
  <c r="A123" i="3"/>
  <c r="L123" i="3" s="1"/>
  <c r="A126" i="3"/>
  <c r="A101" i="3"/>
  <c r="A63" i="3"/>
  <c r="L63" i="3" s="1"/>
  <c r="A102" i="3"/>
  <c r="H102" i="3" s="1"/>
  <c r="A135" i="3"/>
  <c r="H135" i="3" s="1"/>
  <c r="A139" i="3"/>
  <c r="L139" i="3" s="1"/>
  <c r="A9" i="3"/>
  <c r="L9" i="3" s="1"/>
  <c r="A148" i="3"/>
  <c r="N148" i="3" s="1"/>
  <c r="A149" i="3"/>
  <c r="A112" i="3"/>
  <c r="A114" i="3"/>
  <c r="N114" i="3" s="1"/>
  <c r="A151" i="3"/>
  <c r="N151" i="3" s="1"/>
  <c r="A154" i="3"/>
  <c r="H154" i="3" s="1"/>
  <c r="A118" i="3"/>
  <c r="J118" i="3" s="1"/>
  <c r="A82" i="3"/>
  <c r="H82" i="3" s="1"/>
  <c r="A166" i="3"/>
  <c r="A203" i="3"/>
  <c r="A275" i="3"/>
  <c r="A273" i="3"/>
  <c r="L273" i="3" s="1"/>
  <c r="A176" i="3"/>
  <c r="N176" i="3" s="1"/>
  <c r="A177" i="3"/>
  <c r="H177" i="3" s="1"/>
  <c r="A178" i="3"/>
  <c r="H178" i="3" s="1"/>
  <c r="A212" i="3"/>
  <c r="A191" i="3"/>
  <c r="A262" i="3"/>
  <c r="A190" i="3"/>
  <c r="A210" i="3"/>
  <c r="L210" i="3" s="1"/>
  <c r="A246" i="3"/>
  <c r="J246" i="3" s="1"/>
  <c r="A282" i="3"/>
  <c r="N282" i="3" s="1"/>
  <c r="A159" i="3"/>
  <c r="N159" i="3" s="1"/>
  <c r="A185" i="3"/>
  <c r="A258" i="3"/>
  <c r="A294" i="3"/>
  <c r="H294" i="3" s="1"/>
  <c r="A295" i="3"/>
  <c r="A298" i="3"/>
  <c r="L298" i="3" s="1"/>
  <c r="A207" i="3"/>
  <c r="A241" i="3"/>
  <c r="N241" i="3" s="1"/>
  <c r="A204" i="3"/>
  <c r="A240" i="3"/>
  <c r="N240" i="3" s="1"/>
  <c r="A281" i="3"/>
  <c r="A289" i="3"/>
  <c r="A255" i="3"/>
  <c r="A216" i="3"/>
  <c r="N216" i="3" s="1"/>
  <c r="A186" i="3"/>
  <c r="N186" i="3" s="1"/>
  <c r="A279" i="3"/>
  <c r="H279" i="3" s="1"/>
  <c r="A266" i="3"/>
  <c r="A267" i="3"/>
  <c r="N267" i="3" s="1"/>
  <c r="A301" i="3"/>
  <c r="A231" i="3"/>
  <c r="A232" i="3"/>
  <c r="A235" i="3"/>
  <c r="N235" i="3" s="1"/>
  <c r="A271" i="3"/>
  <c r="A269" i="3"/>
  <c r="A318" i="3"/>
  <c r="L318" i="3" s="1"/>
  <c r="A355" i="3"/>
  <c r="A319" i="3"/>
  <c r="A391" i="3"/>
  <c r="J391" i="3" s="1"/>
  <c r="A329" i="3"/>
  <c r="A367" i="3"/>
  <c r="J367" i="3" s="1"/>
  <c r="A311" i="3"/>
  <c r="L311" i="3" s="1"/>
  <c r="A440" i="3"/>
  <c r="L440" i="3" s="1"/>
  <c r="A437" i="3"/>
  <c r="A47" i="3"/>
  <c r="N47" i="3" s="1"/>
  <c r="A85" i="3"/>
  <c r="J85" i="3" s="1"/>
  <c r="A84" i="3"/>
  <c r="A83" i="3"/>
  <c r="L83" i="3" s="1"/>
  <c r="A59" i="3"/>
  <c r="A60" i="3"/>
  <c r="L60" i="3" s="1"/>
  <c r="A24" i="3"/>
  <c r="L24" i="3" s="1"/>
  <c r="A62" i="3"/>
  <c r="A145" i="3"/>
  <c r="A36" i="3"/>
  <c r="A74" i="3"/>
  <c r="A56" i="3"/>
  <c r="A94" i="3"/>
  <c r="N94" i="3" s="1"/>
  <c r="A91" i="3"/>
  <c r="A20" i="3"/>
  <c r="J20" i="3" s="1"/>
  <c r="A68" i="3"/>
  <c r="J68" i="3" s="1"/>
  <c r="A103" i="3"/>
  <c r="A34" i="3"/>
  <c r="J34" i="3" s="1"/>
  <c r="A108" i="3"/>
  <c r="A144" i="3"/>
  <c r="A15" i="3"/>
  <c r="J15" i="3" s="1"/>
  <c r="A16" i="3"/>
  <c r="J16" i="3" s="1"/>
  <c r="A18" i="3"/>
  <c r="L18" i="3" s="1"/>
  <c r="A6" i="3"/>
  <c r="H6" i="3" s="1"/>
  <c r="A138" i="3"/>
  <c r="L138" i="3" s="1"/>
  <c r="A66" i="3"/>
  <c r="A137" i="3"/>
  <c r="J137" i="3" s="1"/>
  <c r="A136" i="3"/>
  <c r="A142" i="3"/>
  <c r="N142" i="3" s="1"/>
  <c r="A75" i="3"/>
  <c r="A39" i="3"/>
  <c r="N39" i="3" s="1"/>
  <c r="A150" i="3"/>
  <c r="A113" i="3"/>
  <c r="A44" i="3"/>
  <c r="N44" i="3" s="1"/>
  <c r="A45" i="3"/>
  <c r="L45" i="3" s="1"/>
  <c r="A43" i="3"/>
  <c r="A10" i="3"/>
  <c r="H10" i="3" s="1"/>
  <c r="A153" i="3"/>
  <c r="A167" i="3"/>
  <c r="A236" i="3"/>
  <c r="L236" i="3" s="1"/>
  <c r="A165" i="3"/>
  <c r="A237" i="3"/>
  <c r="J237" i="3" s="1"/>
  <c r="A248" i="3"/>
  <c r="A179" i="3"/>
  <c r="A213" i="3"/>
  <c r="N213" i="3" s="1"/>
  <c r="A215" i="3"/>
  <c r="H215" i="3" s="1"/>
  <c r="A261" i="3"/>
  <c r="H261" i="3" s="1"/>
  <c r="A188" i="3"/>
  <c r="A260" i="3"/>
  <c r="J260" i="3" s="1"/>
  <c r="A211" i="3"/>
  <c r="A173" i="3"/>
  <c r="A157" i="3"/>
  <c r="A180" i="3"/>
  <c r="L180" i="3" s="1"/>
  <c r="A256" i="3"/>
  <c r="A293" i="3"/>
  <c r="A160" i="3"/>
  <c r="N160" i="3" s="1"/>
  <c r="A224" i="3"/>
  <c r="J224" i="3" s="1"/>
  <c r="A299" i="3"/>
  <c r="A276" i="3"/>
  <c r="A277" i="3"/>
  <c r="A242" i="3"/>
  <c r="J242" i="3" s="1"/>
  <c r="A243" i="3"/>
  <c r="A174" i="3"/>
  <c r="N174" i="3" s="1"/>
  <c r="A291" i="3"/>
  <c r="A183" i="3"/>
  <c r="A253" i="3"/>
  <c r="A187" i="3"/>
  <c r="A193" i="3"/>
  <c r="A228" i="3"/>
  <c r="N228" i="3" s="1"/>
  <c r="A162" i="3"/>
  <c r="A303" i="3"/>
  <c r="A302" i="3"/>
  <c r="N302" i="3" s="1"/>
  <c r="A270" i="3"/>
  <c r="A306" i="3"/>
  <c r="N306" i="3" s="1"/>
  <c r="A304" i="3"/>
  <c r="A305" i="3"/>
  <c r="A320" i="3"/>
  <c r="L320" i="3" s="1"/>
  <c r="A356" i="3"/>
  <c r="J356" i="3" s="1"/>
  <c r="A390" i="3"/>
  <c r="H390" i="3" s="1"/>
  <c r="A427" i="3"/>
  <c r="A332" i="3"/>
  <c r="A368" i="3"/>
  <c r="A331" i="3"/>
  <c r="A330" i="3"/>
  <c r="A342" i="3"/>
  <c r="H342" i="3" s="1"/>
  <c r="A33" i="3"/>
  <c r="J33" i="3" s="1"/>
  <c r="A14" i="3"/>
  <c r="H14" i="3" s="1"/>
  <c r="A49" i="3"/>
  <c r="A121" i="3"/>
  <c r="A12" i="3"/>
  <c r="A5" i="3"/>
  <c r="A134" i="3"/>
  <c r="L134" i="3" s="1"/>
  <c r="A133" i="3"/>
  <c r="H133" i="3" s="1"/>
  <c r="A98" i="3"/>
  <c r="A132" i="3"/>
  <c r="L132" i="3" s="1"/>
  <c r="A37" i="3"/>
  <c r="J37" i="3" s="1"/>
  <c r="A73" i="3"/>
  <c r="A21" i="3"/>
  <c r="L21" i="3" s="1"/>
  <c r="A55" i="3"/>
  <c r="A4" i="3"/>
  <c r="N4" i="3" s="1"/>
  <c r="A130" i="3"/>
  <c r="L130" i="3" s="1"/>
  <c r="A93" i="3"/>
  <c r="J93" i="3" s="1"/>
  <c r="A31" i="3"/>
  <c r="L31" i="3" s="1"/>
  <c r="A140" i="3"/>
  <c r="H140" i="3" s="1"/>
  <c r="A141" i="3"/>
  <c r="A110" i="3"/>
  <c r="L110" i="3" s="1"/>
  <c r="A53" i="3"/>
  <c r="A51" i="3"/>
  <c r="A54" i="3"/>
  <c r="A124" i="3"/>
  <c r="A65" i="3"/>
  <c r="H65" i="3" s="1"/>
  <c r="A29" i="3"/>
  <c r="A99" i="3"/>
  <c r="A100" i="3"/>
  <c r="H100" i="3" s="1"/>
  <c r="A106" i="3"/>
  <c r="A90" i="3"/>
  <c r="A147" i="3"/>
  <c r="L147" i="3" s="1"/>
  <c r="A78" i="3"/>
  <c r="H78" i="3" s="1"/>
  <c r="A76" i="3"/>
  <c r="H76" i="3" s="1"/>
  <c r="A111" i="3"/>
  <c r="H111" i="3" s="1"/>
  <c r="A116" i="3"/>
  <c r="A152" i="3"/>
  <c r="A81" i="3"/>
  <c r="H81" i="3" s="1"/>
  <c r="A80" i="3"/>
  <c r="A164" i="3"/>
  <c r="A201" i="3"/>
  <c r="H201" i="3" s="1"/>
  <c r="A239" i="3"/>
  <c r="H239" i="3" s="1"/>
  <c r="A202" i="3"/>
  <c r="N202" i="3" s="1"/>
  <c r="A158" i="3"/>
  <c r="J158" i="3" s="1"/>
  <c r="A284" i="3"/>
  <c r="N284" i="3" s="1"/>
  <c r="A287" i="3"/>
  <c r="A285" i="3"/>
  <c r="A286" i="3"/>
  <c r="H286" i="3" s="1"/>
  <c r="A225" i="3"/>
  <c r="A263" i="3"/>
  <c r="H263" i="3" s="1"/>
  <c r="A172" i="3"/>
  <c r="A244" i="3"/>
  <c r="J244" i="3" s="1"/>
  <c r="A247" i="3"/>
  <c r="A283" i="3"/>
  <c r="A254" i="3"/>
  <c r="L254" i="3" s="1"/>
  <c r="A220" i="3"/>
  <c r="N220" i="3" s="1"/>
  <c r="A257" i="3"/>
  <c r="N257" i="3" s="1"/>
  <c r="A259" i="3"/>
  <c r="H259" i="3" s="1"/>
  <c r="A226" i="3"/>
  <c r="H226" i="3" s="1"/>
  <c r="A168" i="3"/>
  <c r="A206" i="3"/>
  <c r="N206" i="3" s="1"/>
  <c r="A171" i="3"/>
  <c r="A205" i="3"/>
  <c r="L205" i="3" s="1"/>
  <c r="A280" i="3"/>
  <c r="J280" i="3" s="1"/>
  <c r="A252" i="3"/>
  <c r="J252" i="3" s="1"/>
  <c r="A182" i="3"/>
  <c r="J182" i="3" s="1"/>
  <c r="A290" i="3"/>
  <c r="A184" i="3"/>
  <c r="A278" i="3"/>
  <c r="A264" i="3"/>
  <c r="A265" i="3"/>
  <c r="A300" i="3"/>
  <c r="L300" i="3" s="1"/>
  <c r="A194" i="3"/>
  <c r="A198" i="3"/>
  <c r="A234" i="3"/>
  <c r="J234" i="3" s="1"/>
  <c r="A268" i="3"/>
  <c r="A233" i="3"/>
  <c r="H233" i="3" s="1"/>
  <c r="A317" i="3"/>
  <c r="A354" i="3"/>
  <c r="L354" i="3" s="1"/>
  <c r="A425" i="3"/>
  <c r="H425" i="3" s="1"/>
  <c r="A308" i="3"/>
  <c r="A426" i="3"/>
  <c r="N426" i="3" s="1"/>
  <c r="A439" i="3"/>
  <c r="A403" i="3"/>
  <c r="H403" i="3" s="1"/>
  <c r="A438" i="3"/>
  <c r="A402" i="3"/>
  <c r="N402" i="3" s="1"/>
  <c r="A86" i="3"/>
  <c r="A97" i="3"/>
  <c r="L97" i="3" s="1"/>
  <c r="A109" i="3"/>
  <c r="N109" i="3" s="1"/>
  <c r="A92" i="3"/>
  <c r="H92" i="3" s="1"/>
  <c r="A107" i="3"/>
  <c r="J107" i="3" s="1"/>
  <c r="A87" i="3"/>
  <c r="A30" i="3"/>
  <c r="H30" i="3" s="1"/>
  <c r="A41" i="3"/>
  <c r="L41" i="3" s="1"/>
  <c r="A117" i="3"/>
  <c r="L117" i="3" s="1"/>
  <c r="A200" i="3"/>
  <c r="J200" i="3" s="1"/>
  <c r="A251" i="3"/>
  <c r="A161" i="3"/>
  <c r="N161" i="3" s="1"/>
  <c r="A209" i="3"/>
  <c r="J209" i="3" s="1"/>
  <c r="A221" i="3"/>
  <c r="H221" i="3" s="1"/>
  <c r="A156" i="3"/>
  <c r="A219" i="3"/>
  <c r="N219" i="3" s="1"/>
  <c r="A222" i="3"/>
  <c r="A192" i="3"/>
  <c r="H192" i="3" s="1"/>
  <c r="A163" i="3"/>
  <c r="H163" i="3" s="1"/>
  <c r="A428" i="3"/>
  <c r="L428" i="3" s="1"/>
  <c r="A404" i="3"/>
  <c r="A414" i="3"/>
  <c r="A343" i="3"/>
  <c r="A327" i="3"/>
  <c r="A361" i="3"/>
  <c r="A310" i="3"/>
  <c r="N310" i="3" s="1"/>
  <c r="A436" i="3"/>
  <c r="H436" i="3" s="1"/>
  <c r="A433" i="3"/>
  <c r="L433" i="3" s="1"/>
  <c r="A337" i="3"/>
  <c r="A409" i="3"/>
  <c r="J409" i="3" s="1"/>
  <c r="A412" i="3"/>
  <c r="N412" i="3" s="1"/>
  <c r="A344" i="3"/>
  <c r="A360" i="3"/>
  <c r="A322" i="3"/>
  <c r="H322" i="3" s="1"/>
  <c r="A324" i="3"/>
  <c r="J324" i="3" s="1"/>
  <c r="A358" i="3"/>
  <c r="N358" i="3" s="1"/>
  <c r="A370" i="3"/>
  <c r="A312" i="3"/>
  <c r="A333" i="3"/>
  <c r="N333" i="3" s="1"/>
  <c r="A336" i="3"/>
  <c r="N336" i="3" s="1"/>
  <c r="A339" i="3"/>
  <c r="A359" i="3"/>
  <c r="H359" i="3" s="1"/>
  <c r="A417" i="3"/>
  <c r="A420" i="3"/>
  <c r="A453" i="3"/>
  <c r="A345" i="3"/>
  <c r="N345" i="3" s="1"/>
  <c r="A387" i="3"/>
  <c r="A385" i="3"/>
  <c r="N385" i="3" s="1"/>
  <c r="A388" i="3"/>
  <c r="A351" i="3"/>
  <c r="L351" i="3" s="1"/>
  <c r="A462" i="3"/>
  <c r="A546" i="3"/>
  <c r="A583" i="3"/>
  <c r="H583" i="3" s="1"/>
  <c r="A585" i="3"/>
  <c r="A584" i="3"/>
  <c r="A537" i="3"/>
  <c r="A571" i="3"/>
  <c r="A573" i="3"/>
  <c r="H573" i="3" s="1"/>
  <c r="A606" i="3"/>
  <c r="A503" i="3"/>
  <c r="J503" i="3" s="1"/>
  <c r="A540" i="3"/>
  <c r="N540" i="3" s="1"/>
  <c r="A576" i="3"/>
  <c r="J576" i="3" s="1"/>
  <c r="A580" i="3"/>
  <c r="A578" i="3"/>
  <c r="A579" i="3"/>
  <c r="A542" i="3"/>
  <c r="H542" i="3" s="1"/>
  <c r="A557" i="3"/>
  <c r="N557" i="3" s="1"/>
  <c r="A482" i="3"/>
  <c r="L482" i="3" s="1"/>
  <c r="A485" i="3"/>
  <c r="H485" i="3" s="1"/>
  <c r="A539" i="3"/>
  <c r="A613" i="3"/>
  <c r="A550" i="3"/>
  <c r="H550" i="3" s="1"/>
  <c r="A517" i="3"/>
  <c r="A555" i="3"/>
  <c r="L555" i="3" s="1"/>
  <c r="A551" i="3"/>
  <c r="H551" i="3" s="1"/>
  <c r="A467" i="3"/>
  <c r="N467" i="3" s="1"/>
  <c r="A605" i="3"/>
  <c r="A568" i="3"/>
  <c r="H568" i="3" s="1"/>
  <c r="A569" i="3"/>
  <c r="A603" i="3"/>
  <c r="A525" i="3"/>
  <c r="A558" i="3"/>
  <c r="N558" i="3" s="1"/>
  <c r="A486" i="3"/>
  <c r="H486" i="3" s="1"/>
  <c r="A523" i="3"/>
  <c r="J523" i="3" s="1"/>
  <c r="A466" i="3"/>
  <c r="L466" i="3" s="1"/>
  <c r="A599" i="3"/>
  <c r="A122" i="3"/>
  <c r="N122" i="3" s="1"/>
  <c r="A131" i="3"/>
  <c r="A127" i="3"/>
  <c r="A104" i="3"/>
  <c r="H104" i="3" s="1"/>
  <c r="A3" i="3"/>
  <c r="A64" i="3"/>
  <c r="A67" i="3"/>
  <c r="J67" i="3" s="1"/>
  <c r="A40" i="3"/>
  <c r="A46" i="3"/>
  <c r="A238" i="3"/>
  <c r="A250" i="3"/>
  <c r="A227" i="3"/>
  <c r="H227" i="3" s="1"/>
  <c r="A175" i="3"/>
  <c r="A223" i="3"/>
  <c r="N223" i="3" s="1"/>
  <c r="A170" i="3"/>
  <c r="H170" i="3" s="1"/>
  <c r="A181" i="3"/>
  <c r="H181" i="3" s="1"/>
  <c r="A195" i="3"/>
  <c r="A196" i="3"/>
  <c r="L196" i="3" s="1"/>
  <c r="A307" i="3"/>
  <c r="A392" i="3"/>
  <c r="J392" i="3" s="1"/>
  <c r="A366" i="3"/>
  <c r="A341" i="3"/>
  <c r="J341" i="3" s="1"/>
  <c r="A377" i="3"/>
  <c r="A328" i="3"/>
  <c r="A362" i="3"/>
  <c r="A48" i="3"/>
  <c r="A96" i="3"/>
  <c r="L96" i="3" s="1"/>
  <c r="A35" i="3"/>
  <c r="N35" i="3" s="1"/>
  <c r="A128" i="3"/>
  <c r="N128" i="3" s="1"/>
  <c r="A70" i="3"/>
  <c r="N70" i="3" s="1"/>
  <c r="A17" i="3"/>
  <c r="L17" i="3" s="1"/>
  <c r="A28" i="3"/>
  <c r="A88" i="3"/>
  <c r="A42" i="3"/>
  <c r="J42" i="3" s="1"/>
  <c r="A79" i="3"/>
  <c r="A272" i="3"/>
  <c r="J272" i="3" s="1"/>
  <c r="A214" i="3"/>
  <c r="L214" i="3" s="1"/>
  <c r="A297" i="3"/>
  <c r="A218" i="3"/>
  <c r="A296" i="3"/>
  <c r="J296" i="3" s="1"/>
  <c r="A169" i="3"/>
  <c r="A217" i="3"/>
  <c r="A230" i="3"/>
  <c r="A197" i="3"/>
  <c r="L197" i="3" s="1"/>
  <c r="A353" i="3"/>
  <c r="L353" i="3" s="1"/>
  <c r="A365" i="3"/>
  <c r="N365" i="3" s="1"/>
  <c r="A379" i="3"/>
  <c r="H379" i="3" s="1"/>
  <c r="A415" i="3"/>
  <c r="A451" i="3"/>
  <c r="A363" i="3"/>
  <c r="A364" i="3"/>
  <c r="A398" i="3"/>
  <c r="H398" i="3" s="1"/>
  <c r="A326" i="3"/>
  <c r="J326" i="3" s="1"/>
  <c r="A373" i="3"/>
  <c r="H373" i="3" s="1"/>
  <c r="A447" i="3"/>
  <c r="H447" i="3" s="1"/>
  <c r="A313" i="3"/>
  <c r="A314" i="3"/>
  <c r="J314" i="3" s="1"/>
  <c r="A380" i="3"/>
  <c r="A432" i="3"/>
  <c r="A430" i="3"/>
  <c r="H430" i="3" s="1"/>
  <c r="A431" i="3"/>
  <c r="L431" i="3" s="1"/>
  <c r="A429" i="3"/>
  <c r="H429" i="3" s="1"/>
  <c r="A407" i="3"/>
  <c r="H407" i="3" s="1"/>
  <c r="A405" i="3"/>
  <c r="H405" i="3" s="1"/>
  <c r="A408" i="3"/>
  <c r="A442" i="3"/>
  <c r="A410" i="3"/>
  <c r="A348" i="3"/>
  <c r="J348" i="3" s="1"/>
  <c r="A383" i="3"/>
  <c r="A347" i="3"/>
  <c r="H347" i="3" s="1"/>
  <c r="A456" i="3"/>
  <c r="H456" i="3" s="1"/>
  <c r="A384" i="3"/>
  <c r="J384" i="3" s="1"/>
  <c r="A423" i="3"/>
  <c r="H423" i="3" s="1"/>
  <c r="A459" i="3"/>
  <c r="A458" i="3"/>
  <c r="H458" i="3" s="1"/>
  <c r="A421" i="3"/>
  <c r="H421" i="3" s="1"/>
  <c r="A511" i="3"/>
  <c r="A549" i="3"/>
  <c r="J549" i="3" s="1"/>
  <c r="A510" i="3"/>
  <c r="N510" i="3" s="1"/>
  <c r="A547" i="3"/>
  <c r="A534" i="3"/>
  <c r="A500" i="3"/>
  <c r="A468" i="3"/>
  <c r="A501" i="3"/>
  <c r="N501" i="3" s="1"/>
  <c r="A469" i="3"/>
  <c r="N469" i="3" s="1"/>
  <c r="A610" i="3"/>
  <c r="L610" i="3" s="1"/>
  <c r="A502" i="3"/>
  <c r="H502" i="3" s="1"/>
  <c r="A473" i="3"/>
  <c r="A507" i="3"/>
  <c r="A508" i="3"/>
  <c r="A470" i="3"/>
  <c r="A483" i="3"/>
  <c r="N483" i="3" s="1"/>
  <c r="A518" i="3"/>
  <c r="J518" i="3" s="1"/>
  <c r="A590" i="3"/>
  <c r="A593" i="3"/>
  <c r="L593" i="3" s="1"/>
  <c r="A612" i="3"/>
  <c r="A519" i="3"/>
  <c r="H519" i="3" s="1"/>
  <c r="A515" i="3"/>
  <c r="A480" i="3"/>
  <c r="A588" i="3"/>
  <c r="J588" i="3" s="1"/>
  <c r="A592" i="3"/>
  <c r="J592" i="3" s="1"/>
  <c r="A533" i="3"/>
  <c r="N533" i="3" s="1"/>
  <c r="A495" i="3"/>
  <c r="H495" i="3" s="1"/>
  <c r="A530" i="3"/>
  <c r="A532" i="3"/>
  <c r="A587" i="3"/>
  <c r="A595" i="3"/>
  <c r="L595" i="3" s="1"/>
  <c r="A597" i="3"/>
  <c r="N597" i="3" s="1"/>
  <c r="A560" i="3"/>
  <c r="L560" i="3" s="1"/>
  <c r="A559" i="3"/>
  <c r="A120" i="3"/>
  <c r="A95" i="3"/>
  <c r="J95" i="3" s="1"/>
  <c r="A38" i="3"/>
  <c r="A129" i="3"/>
  <c r="A105" i="3"/>
  <c r="A52" i="3"/>
  <c r="N52" i="3" s="1"/>
  <c r="A27" i="3"/>
  <c r="J27" i="3" s="1"/>
  <c r="A77" i="3"/>
  <c r="N77" i="3" s="1"/>
  <c r="A115" i="3"/>
  <c r="N115" i="3" s="1"/>
  <c r="A155" i="3"/>
  <c r="A274" i="3"/>
  <c r="A249" i="3"/>
  <c r="A208" i="3"/>
  <c r="A292" i="3"/>
  <c r="L292" i="3" s="1"/>
  <c r="A189" i="3"/>
  <c r="A245" i="3"/>
  <c r="A288" i="3"/>
  <c r="A229" i="3"/>
  <c r="N229" i="3" s="1"/>
  <c r="A199" i="3"/>
  <c r="A389" i="3"/>
  <c r="L389" i="3" s="1"/>
  <c r="A401" i="3"/>
  <c r="A378" i="3"/>
  <c r="N378" i="3" s="1"/>
  <c r="A450" i="3"/>
  <c r="A452" i="3"/>
  <c r="N452" i="3" s="1"/>
  <c r="A434" i="3"/>
  <c r="L434" i="3" s="1"/>
  <c r="A435" i="3"/>
  <c r="L435" i="3" s="1"/>
  <c r="A399" i="3"/>
  <c r="A400" i="3"/>
  <c r="A445" i="3"/>
  <c r="L445" i="3" s="1"/>
  <c r="A340" i="3"/>
  <c r="J340" i="3" s="1"/>
  <c r="A375" i="3"/>
  <c r="A416" i="3"/>
  <c r="L416" i="3" s="1"/>
  <c r="A413" i="3"/>
  <c r="H413" i="3" s="1"/>
  <c r="A309" i="3"/>
  <c r="H309" i="3" s="1"/>
  <c r="A323" i="3"/>
  <c r="A321" i="3"/>
  <c r="N321" i="3" s="1"/>
  <c r="A335" i="3"/>
  <c r="L335" i="3" s="1"/>
  <c r="A444" i="3"/>
  <c r="H444" i="3" s="1"/>
  <c r="A406" i="3"/>
  <c r="A441" i="3"/>
  <c r="J441" i="3" s="1"/>
  <c r="A443" i="3"/>
  <c r="J443" i="3" s="1"/>
  <c r="A411" i="3"/>
  <c r="A382" i="3"/>
  <c r="J382" i="3" s="1"/>
  <c r="A418" i="3"/>
  <c r="H418" i="3" s="1"/>
  <c r="A381" i="3"/>
  <c r="N381" i="3" s="1"/>
  <c r="A315" i="3"/>
  <c r="J315" i="3" s="1"/>
  <c r="A350" i="3"/>
  <c r="A349" i="3"/>
  <c r="J349" i="3" s="1"/>
  <c r="A352" i="3"/>
  <c r="A316" i="3"/>
  <c r="H316" i="3" s="1"/>
  <c r="A460" i="3"/>
  <c r="A512" i="3"/>
  <c r="A582" i="3"/>
  <c r="A513" i="3"/>
  <c r="A475" i="3"/>
  <c r="L475" i="3" s="1"/>
  <c r="A535" i="3"/>
  <c r="J535" i="3" s="1"/>
  <c r="A570" i="3"/>
  <c r="A498" i="3"/>
  <c r="H498" i="3" s="1"/>
  <c r="A536" i="3"/>
  <c r="A577" i="3"/>
  <c r="A504" i="3"/>
  <c r="A575" i="3"/>
  <c r="N575" i="3" s="1"/>
  <c r="A543" i="3"/>
  <c r="H543" i="3" s="1"/>
  <c r="A545" i="3"/>
  <c r="A509" i="3"/>
  <c r="A472" i="3"/>
  <c r="A520" i="3"/>
  <c r="A591" i="3"/>
  <c r="H591" i="3" s="1"/>
  <c r="A464" i="3"/>
  <c r="N464" i="3" s="1"/>
  <c r="A538" i="3"/>
  <c r="L538" i="3" s="1"/>
  <c r="A611" i="3"/>
  <c r="A516" i="3"/>
  <c r="N516" i="3" s="1"/>
  <c r="A521" i="3"/>
  <c r="A514" i="3"/>
  <c r="A479" i="3"/>
  <c r="A589" i="3"/>
  <c r="J589" i="3" s="1"/>
  <c r="A604" i="3"/>
  <c r="A566" i="3"/>
  <c r="H566" i="3" s="1"/>
  <c r="A567" i="3"/>
  <c r="A602" i="3"/>
  <c r="L602" i="3" s="1"/>
  <c r="A487" i="3"/>
  <c r="A489" i="3"/>
  <c r="N489" i="3" s="1"/>
  <c r="A465" i="3"/>
  <c r="A488" i="3"/>
  <c r="A561" i="3"/>
  <c r="A338" i="3"/>
  <c r="A449" i="3"/>
  <c r="A395" i="3"/>
  <c r="H395" i="3" s="1"/>
  <c r="A371" i="3"/>
  <c r="A454" i="3"/>
  <c r="H454" i="3" s="1"/>
  <c r="A424" i="3"/>
  <c r="A548" i="3"/>
  <c r="H548" i="3" s="1"/>
  <c r="A609" i="3"/>
  <c r="J609" i="3" s="1"/>
  <c r="A505" i="3"/>
  <c r="H505" i="3" s="1"/>
  <c r="A461" i="3"/>
  <c r="J461" i="3" s="1"/>
  <c r="A556" i="3"/>
  <c r="J556" i="3" s="1"/>
  <c r="A463" i="3"/>
  <c r="A531" i="3"/>
  <c r="A481" i="3"/>
  <c r="A524" i="3"/>
  <c r="A491" i="3"/>
  <c r="A601" i="3"/>
  <c r="J601" i="3" s="1"/>
  <c r="A564" i="3"/>
  <c r="A615" i="3"/>
  <c r="H615" i="3" s="1"/>
  <c r="A630" i="3"/>
  <c r="N630" i="3" s="1"/>
  <c r="A700" i="3"/>
  <c r="A699" i="3"/>
  <c r="L699" i="3" s="1"/>
  <c r="A738" i="3"/>
  <c r="A760" i="3"/>
  <c r="A724" i="3"/>
  <c r="N724" i="3" s="1"/>
  <c r="A689" i="3"/>
  <c r="A726" i="3"/>
  <c r="A622" i="3"/>
  <c r="L622" i="3" s="1"/>
  <c r="A691" i="3"/>
  <c r="A729" i="3"/>
  <c r="A662" i="3"/>
  <c r="A697" i="3"/>
  <c r="A626" i="3"/>
  <c r="H626" i="3" s="1"/>
  <c r="A674" i="3"/>
  <c r="A673" i="3"/>
  <c r="L673" i="3" s="1"/>
  <c r="A672" i="3"/>
  <c r="H672" i="3" s="1"/>
  <c r="A648" i="3"/>
  <c r="A763" i="3"/>
  <c r="A694" i="3"/>
  <c r="N694" i="3" s="1"/>
  <c r="A614" i="3"/>
  <c r="L614" i="3" s="1"/>
  <c r="A740" i="3"/>
  <c r="J740" i="3" s="1"/>
  <c r="A741" i="3"/>
  <c r="A669" i="3"/>
  <c r="N669" i="3" s="1"/>
  <c r="A670" i="3"/>
  <c r="A684" i="3"/>
  <c r="J684" i="3" s="1"/>
  <c r="A620" i="3"/>
  <c r="L620" i="3" s="1"/>
  <c r="A686" i="3"/>
  <c r="A758" i="3"/>
  <c r="L758" i="3" s="1"/>
  <c r="A642" i="3"/>
  <c r="N642" i="3" s="1"/>
  <c r="A675" i="3"/>
  <c r="A711" i="3"/>
  <c r="A676" i="3"/>
  <c r="N676" i="3" s="1"/>
  <c r="A643" i="3"/>
  <c r="A646" i="3"/>
  <c r="A644" i="3"/>
  <c r="A752" i="3"/>
  <c r="A754" i="3"/>
  <c r="A816" i="3"/>
  <c r="H816" i="3" s="1"/>
  <c r="A889" i="3"/>
  <c r="L889" i="3" s="1"/>
  <c r="A855" i="3"/>
  <c r="A852" i="3"/>
  <c r="H852" i="3" s="1"/>
  <c r="A876" i="3"/>
  <c r="A843" i="3"/>
  <c r="A877" i="3"/>
  <c r="L877" i="3" s="1"/>
  <c r="A840" i="3"/>
  <c r="N840" i="3" s="1"/>
  <c r="A880" i="3"/>
  <c r="A845" i="3"/>
  <c r="J845" i="3" s="1"/>
  <c r="A916" i="3"/>
  <c r="H916" i="3" s="1"/>
  <c r="A812" i="3"/>
  <c r="A851" i="3"/>
  <c r="A848" i="3"/>
  <c r="A778" i="3"/>
  <c r="A826" i="3"/>
  <c r="L826" i="3" s="1"/>
  <c r="A897" i="3"/>
  <c r="J897" i="3" s="1"/>
  <c r="A770" i="3"/>
  <c r="L770" i="3" s="1"/>
  <c r="A775" i="3"/>
  <c r="A846" i="3"/>
  <c r="A857" i="3"/>
  <c r="A821" i="3"/>
  <c r="A786" i="3"/>
  <c r="N786" i="3" s="1"/>
  <c r="A787" i="3"/>
  <c r="J787" i="3" s="1"/>
  <c r="A898" i="3"/>
  <c r="N898" i="3" s="1"/>
  <c r="A873" i="3"/>
  <c r="A838" i="3"/>
  <c r="J838" i="3" s="1"/>
  <c r="A875" i="3"/>
  <c r="A908" i="3"/>
  <c r="N908" i="3" s="1"/>
  <c r="A376" i="3"/>
  <c r="A396" i="3"/>
  <c r="J396" i="3" s="1"/>
  <c r="A372" i="3"/>
  <c r="L372" i="3" s="1"/>
  <c r="A374" i="3"/>
  <c r="N374" i="3" s="1"/>
  <c r="A455" i="3"/>
  <c r="H455" i="3" s="1"/>
  <c r="A457" i="3"/>
  <c r="N457" i="3" s="1"/>
  <c r="A476" i="3"/>
  <c r="A572" i="3"/>
  <c r="A541" i="3"/>
  <c r="A581" i="3"/>
  <c r="N581" i="3" s="1"/>
  <c r="A554" i="3"/>
  <c r="N554" i="3" s="1"/>
  <c r="A586" i="3"/>
  <c r="A494" i="3"/>
  <c r="L494" i="3" s="1"/>
  <c r="A594" i="3"/>
  <c r="L594" i="3" s="1"/>
  <c r="A493" i="3"/>
  <c r="A526" i="3"/>
  <c r="A492" i="3"/>
  <c r="L492" i="3" s="1"/>
  <c r="A490" i="3"/>
  <c r="A627" i="3"/>
  <c r="L627" i="3" s="1"/>
  <c r="A663" i="3"/>
  <c r="N663" i="3" s="1"/>
  <c r="A701" i="3"/>
  <c r="L701" i="3" s="1"/>
  <c r="A702" i="3"/>
  <c r="J702" i="3" s="1"/>
  <c r="A621" i="3"/>
  <c r="A762" i="3"/>
  <c r="L762" i="3" s="1"/>
  <c r="A761" i="3"/>
  <c r="N761" i="3" s="1"/>
  <c r="A725" i="3"/>
  <c r="A759" i="3"/>
  <c r="J759" i="3" s="1"/>
  <c r="A658" i="3"/>
  <c r="A728" i="3"/>
  <c r="J728" i="3" s="1"/>
  <c r="A661" i="3"/>
  <c r="J661" i="3" s="1"/>
  <c r="A698" i="3"/>
  <c r="A731" i="3"/>
  <c r="A734" i="3"/>
  <c r="A636" i="3"/>
  <c r="A709" i="3"/>
  <c r="L709" i="3" s="1"/>
  <c r="A708" i="3"/>
  <c r="A650" i="3"/>
  <c r="A764" i="3"/>
  <c r="N764" i="3" s="1"/>
  <c r="A624" i="3"/>
  <c r="L624" i="3" s="1"/>
  <c r="A638" i="3"/>
  <c r="A616" i="3"/>
  <c r="A631" i="3"/>
  <c r="A704" i="3"/>
  <c r="J704" i="3" s="1"/>
  <c r="A706" i="3"/>
  <c r="A755" i="3"/>
  <c r="L755" i="3" s="1"/>
  <c r="A683" i="3"/>
  <c r="N683" i="3" s="1"/>
  <c r="A720" i="3"/>
  <c r="A739" i="3"/>
  <c r="N739" i="3" s="1"/>
  <c r="A677" i="3"/>
  <c r="A678" i="3"/>
  <c r="A712" i="3"/>
  <c r="N712" i="3" s="1"/>
  <c r="A713" i="3"/>
  <c r="H713" i="3" s="1"/>
  <c r="A679" i="3"/>
  <c r="N679" i="3" s="1"/>
  <c r="A680" i="3"/>
  <c r="A681" i="3"/>
  <c r="A619" i="3"/>
  <c r="A768" i="3"/>
  <c r="A817" i="3"/>
  <c r="A891" i="3"/>
  <c r="L891" i="3" s="1"/>
  <c r="A782" i="3"/>
  <c r="N782" i="3" s="1"/>
  <c r="A854" i="3"/>
  <c r="N854" i="3" s="1"/>
  <c r="A915" i="3"/>
  <c r="A913" i="3"/>
  <c r="A878" i="3"/>
  <c r="A397" i="3"/>
  <c r="A446" i="3"/>
  <c r="A394" i="3"/>
  <c r="J394" i="3" s="1"/>
  <c r="A334" i="3"/>
  <c r="H334" i="3" s="1"/>
  <c r="A357" i="3"/>
  <c r="L357" i="3" s="1"/>
  <c r="A346" i="3"/>
  <c r="A386" i="3"/>
  <c r="H386" i="3" s="1"/>
  <c r="A474" i="3"/>
  <c r="J474" i="3" s="1"/>
  <c r="A608" i="3"/>
  <c r="A471" i="3"/>
  <c r="A544" i="3"/>
  <c r="N544" i="3" s="1"/>
  <c r="A574" i="3"/>
  <c r="H574" i="3" s="1"/>
  <c r="A552" i="3"/>
  <c r="A496" i="3"/>
  <c r="L496" i="3" s="1"/>
  <c r="A596" i="3"/>
  <c r="J596" i="3" s="1"/>
  <c r="A562" i="3"/>
  <c r="A529" i="3"/>
  <c r="A527" i="3"/>
  <c r="A528" i="3"/>
  <c r="H528" i="3" s="1"/>
  <c r="A628" i="3"/>
  <c r="H628" i="3" s="1"/>
  <c r="A664" i="3"/>
  <c r="H664" i="3" s="1"/>
  <c r="A737" i="3"/>
  <c r="L737" i="3" s="1"/>
  <c r="A736" i="3"/>
  <c r="A652" i="3"/>
  <c r="A651" i="3"/>
  <c r="A654" i="3"/>
  <c r="A687" i="3"/>
  <c r="A657" i="3"/>
  <c r="H657" i="3" s="1"/>
  <c r="A727" i="3"/>
  <c r="A655" i="3"/>
  <c r="N655" i="3" s="1"/>
  <c r="A695" i="3"/>
  <c r="A732" i="3"/>
  <c r="A733" i="3"/>
  <c r="L733" i="3" s="1"/>
  <c r="A635" i="3"/>
  <c r="A707" i="3"/>
  <c r="L707" i="3" s="1"/>
  <c r="A743" i="3"/>
  <c r="J743" i="3" s="1"/>
  <c r="A746" i="3"/>
  <c r="N746" i="3" s="1"/>
  <c r="A685" i="3"/>
  <c r="H685" i="3" s="1"/>
  <c r="A765" i="3"/>
  <c r="A659" i="3"/>
  <c r="N659" i="3" s="1"/>
  <c r="A668" i="3"/>
  <c r="A667" i="3"/>
  <c r="L667" i="3" s="1"/>
  <c r="A632" i="3"/>
  <c r="A633" i="3"/>
  <c r="J633" i="3" s="1"/>
  <c r="A744" i="3"/>
  <c r="H744" i="3" s="1"/>
  <c r="A756" i="3"/>
  <c r="N756" i="3" s="1"/>
  <c r="A721" i="3"/>
  <c r="A719" i="3"/>
  <c r="A742" i="3"/>
  <c r="A748" i="3"/>
  <c r="L748" i="3" s="1"/>
  <c r="A747" i="3"/>
  <c r="H747" i="3" s="1"/>
  <c r="A749" i="3"/>
  <c r="A714" i="3"/>
  <c r="J714" i="3" s="1"/>
  <c r="A715" i="3"/>
  <c r="A718" i="3"/>
  <c r="A682" i="3"/>
  <c r="J682" i="3" s="1"/>
  <c r="A645" i="3"/>
  <c r="L645" i="3" s="1"/>
  <c r="A781" i="3"/>
  <c r="L781" i="3" s="1"/>
  <c r="A853" i="3"/>
  <c r="N853" i="3" s="1"/>
  <c r="A780" i="3"/>
  <c r="A819" i="3"/>
  <c r="A774" i="3"/>
  <c r="N774" i="3" s="1"/>
  <c r="A804" i="3"/>
  <c r="A805" i="3"/>
  <c r="H805" i="3" s="1"/>
  <c r="A912" i="3"/>
  <c r="A914" i="3"/>
  <c r="L914" i="3" s="1"/>
  <c r="A883" i="3"/>
  <c r="J883" i="3" s="1"/>
  <c r="A844" i="3"/>
  <c r="H844" i="3" s="1"/>
  <c r="A776" i="3"/>
  <c r="L776" i="3" s="1"/>
  <c r="A813" i="3"/>
  <c r="A767" i="3"/>
  <c r="A887" i="3"/>
  <c r="L887" i="3" s="1"/>
  <c r="A850" i="3"/>
  <c r="A790" i="3"/>
  <c r="A825" i="3"/>
  <c r="H825" i="3" s="1"/>
  <c r="A827" i="3"/>
  <c r="A811" i="3"/>
  <c r="A820" i="3"/>
  <c r="J820" i="3" s="1"/>
  <c r="A769" i="3"/>
  <c r="A859" i="3"/>
  <c r="A863" i="3"/>
  <c r="A858" i="3"/>
  <c r="A803" i="3"/>
  <c r="H803" i="3" s="1"/>
  <c r="A800" i="3"/>
  <c r="L800" i="3" s="1"/>
  <c r="A802" i="3"/>
  <c r="J802" i="3" s="1"/>
  <c r="A801" i="3"/>
  <c r="H801" i="3" s="1"/>
  <c r="A856" i="3"/>
  <c r="A325" i="3"/>
  <c r="A448" i="3"/>
  <c r="A393" i="3"/>
  <c r="A369" i="3"/>
  <c r="L369" i="3" s="1"/>
  <c r="A419" i="3"/>
  <c r="H419" i="3" s="1"/>
  <c r="A422" i="3"/>
  <c r="A477" i="3"/>
  <c r="H477" i="3" s="1"/>
  <c r="A499" i="3"/>
  <c r="J499" i="3" s="1"/>
  <c r="A607" i="3"/>
  <c r="A506" i="3"/>
  <c r="A484" i="3"/>
  <c r="A478" i="3"/>
  <c r="L478" i="3" s="1"/>
  <c r="A553" i="3"/>
  <c r="H553" i="3" s="1"/>
  <c r="A497" i="3"/>
  <c r="J497" i="3" s="1"/>
  <c r="A522" i="3"/>
  <c r="H522" i="3" s="1"/>
  <c r="A598" i="3"/>
  <c r="A600" i="3"/>
  <c r="A563" i="3"/>
  <c r="H563" i="3" s="1"/>
  <c r="A565" i="3"/>
  <c r="L565" i="3" s="1"/>
  <c r="A629" i="3"/>
  <c r="A665" i="3"/>
  <c r="N665" i="3" s="1"/>
  <c r="A666" i="3"/>
  <c r="A735" i="3"/>
  <c r="A723" i="3"/>
  <c r="H723" i="3" s="1"/>
  <c r="A653" i="3"/>
  <c r="A688" i="3"/>
  <c r="A690" i="3"/>
  <c r="L690" i="3" s="1"/>
  <c r="A692" i="3"/>
  <c r="A656" i="3"/>
  <c r="J656" i="3" s="1"/>
  <c r="A693" i="3"/>
  <c r="L693" i="3" s="1"/>
  <c r="A696" i="3"/>
  <c r="A623" i="3"/>
  <c r="H623" i="3" s="1"/>
  <c r="A625" i="3"/>
  <c r="A637" i="3"/>
  <c r="A710" i="3"/>
  <c r="L710" i="3" s="1"/>
  <c r="A617" i="3"/>
  <c r="L617" i="3" s="1"/>
  <c r="A649" i="3"/>
  <c r="N649" i="3" s="1"/>
  <c r="A730" i="3"/>
  <c r="A766" i="3"/>
  <c r="A660" i="3"/>
  <c r="A703" i="3"/>
  <c r="A705" i="3"/>
  <c r="A671" i="3"/>
  <c r="A634" i="3"/>
  <c r="N634" i="3" s="1"/>
  <c r="A745" i="3"/>
  <c r="H745" i="3" s="1"/>
  <c r="A757" i="3"/>
  <c r="H757" i="3" s="1"/>
  <c r="A647" i="3"/>
  <c r="A722" i="3"/>
  <c r="A641" i="3"/>
  <c r="A639" i="3"/>
  <c r="A640" i="3"/>
  <c r="A618" i="3"/>
  <c r="A750" i="3"/>
  <c r="H750" i="3" s="1"/>
  <c r="A717" i="3"/>
  <c r="N717" i="3" s="1"/>
  <c r="A753" i="3"/>
  <c r="N753" i="3" s="1"/>
  <c r="A751" i="3"/>
  <c r="A716" i="3"/>
  <c r="A783" i="3"/>
  <c r="N783" i="3" s="1"/>
  <c r="A888" i="3"/>
  <c r="J888" i="3" s="1"/>
  <c r="A818" i="3"/>
  <c r="J818" i="3" s="1"/>
  <c r="A890" i="3"/>
  <c r="A841" i="3"/>
  <c r="H841" i="3" s="1"/>
  <c r="A842" i="3"/>
  <c r="A807" i="3"/>
  <c r="A806" i="3"/>
  <c r="A810" i="3"/>
  <c r="L810" i="3" s="1"/>
  <c r="A809" i="3"/>
  <c r="A847" i="3"/>
  <c r="N847" i="3" s="1"/>
  <c r="A779" i="3"/>
  <c r="A814" i="3"/>
  <c r="A815" i="3"/>
  <c r="A777" i="3"/>
  <c r="N777" i="3" s="1"/>
  <c r="A789" i="3"/>
  <c r="A824" i="3"/>
  <c r="A896" i="3"/>
  <c r="L896" i="3" s="1"/>
  <c r="A899" i="3"/>
  <c r="J899" i="3" s="1"/>
  <c r="A881" i="3"/>
  <c r="N881" i="3" s="1"/>
  <c r="A861" i="3"/>
  <c r="H861" i="3" s="1"/>
  <c r="A785" i="3"/>
  <c r="H785" i="3" s="1"/>
  <c r="A784" i="3"/>
  <c r="L784" i="3" s="1"/>
  <c r="A892" i="3"/>
  <c r="N892" i="3" s="1"/>
  <c r="A893" i="3"/>
  <c r="A836" i="3"/>
  <c r="L836" i="3" s="1"/>
  <c r="A837" i="3"/>
  <c r="J837" i="3" s="1"/>
  <c r="A872" i="3"/>
  <c r="J872" i="3" s="1"/>
  <c r="A796" i="3"/>
  <c r="A871" i="3"/>
  <c r="A905" i="3"/>
  <c r="A868" i="3"/>
  <c r="A865" i="3"/>
  <c r="A901" i="3"/>
  <c r="L901" i="3" s="1"/>
  <c r="A902" i="3"/>
  <c r="H902" i="3" s="1"/>
  <c r="A867" i="3"/>
  <c r="A895" i="3"/>
  <c r="N895" i="3" s="1"/>
  <c r="A839" i="3"/>
  <c r="A823" i="3"/>
  <c r="A918" i="3"/>
  <c r="H918" i="3" s="1"/>
  <c r="A849" i="3"/>
  <c r="A919" i="3"/>
  <c r="L919" i="3" s="1"/>
  <c r="A11" i="3"/>
  <c r="L11" i="3" s="1"/>
  <c r="A772" i="3"/>
  <c r="H772" i="3" s="1"/>
  <c r="A833" i="3"/>
  <c r="N833" i="3" s="1"/>
  <c r="A869" i="3"/>
  <c r="N869" i="3" s="1"/>
  <c r="A834" i="3"/>
  <c r="A828" i="3"/>
  <c r="A900" i="3"/>
  <c r="A866" i="3"/>
  <c r="L866" i="3" s="1"/>
  <c r="A830" i="3"/>
  <c r="J830" i="3" s="1"/>
  <c r="A909" i="3"/>
  <c r="N909" i="3" s="1"/>
  <c r="A911" i="3"/>
  <c r="L911" i="3" s="1"/>
  <c r="A862" i="3"/>
  <c r="A791" i="3"/>
  <c r="N791" i="3" s="1"/>
  <c r="A885" i="3"/>
  <c r="A917" i="3"/>
  <c r="N748" i="3"/>
  <c r="L818" i="3"/>
  <c r="N251" i="3"/>
  <c r="N595" i="3"/>
  <c r="L464" i="3"/>
  <c r="L272" i="3"/>
  <c r="N298" i="3"/>
  <c r="J11" i="3"/>
  <c r="J793" i="3"/>
  <c r="H793" i="3"/>
  <c r="N601" i="3"/>
  <c r="J553" i="3"/>
  <c r="J484" i="3"/>
  <c r="H484" i="3"/>
  <c r="N484" i="3"/>
  <c r="H836" i="3"/>
  <c r="J836" i="3"/>
  <c r="J896" i="3"/>
  <c r="N896" i="3"/>
  <c r="J779" i="3"/>
  <c r="H809" i="3"/>
  <c r="J809" i="3"/>
  <c r="N809" i="3"/>
  <c r="H888" i="3"/>
  <c r="L888" i="3"/>
  <c r="N640" i="3"/>
  <c r="J640" i="3"/>
  <c r="H640" i="3"/>
  <c r="H671" i="3"/>
  <c r="J671" i="3"/>
  <c r="L671" i="3"/>
  <c r="N671" i="3"/>
  <c r="J710" i="3"/>
  <c r="H710" i="3"/>
  <c r="N710" i="3"/>
  <c r="H690" i="3"/>
  <c r="N690" i="3"/>
  <c r="J690" i="3"/>
  <c r="J565" i="3"/>
  <c r="H565" i="3"/>
  <c r="N565" i="3"/>
  <c r="N486" i="3"/>
  <c r="J525" i="3"/>
  <c r="H525" i="3"/>
  <c r="N525" i="3"/>
  <c r="N551" i="3"/>
  <c r="H517" i="3"/>
  <c r="J517" i="3"/>
  <c r="L517" i="3"/>
  <c r="N517" i="3"/>
  <c r="H579" i="3"/>
  <c r="J579" i="3"/>
  <c r="N579" i="3"/>
  <c r="L579" i="3"/>
  <c r="H571" i="3"/>
  <c r="J571" i="3"/>
  <c r="N571" i="3"/>
  <c r="L571" i="3"/>
  <c r="H388" i="3"/>
  <c r="J388" i="3"/>
  <c r="N388" i="3"/>
  <c r="L388" i="3"/>
  <c r="J339" i="3"/>
  <c r="H339" i="3"/>
  <c r="N339" i="3"/>
  <c r="L339" i="3"/>
  <c r="H360" i="3"/>
  <c r="N360" i="3"/>
  <c r="J360" i="3"/>
  <c r="H361" i="3"/>
  <c r="J361" i="3"/>
  <c r="N361" i="3"/>
  <c r="L361" i="3"/>
  <c r="H329" i="3"/>
  <c r="J329" i="3"/>
  <c r="N329" i="3"/>
  <c r="L329" i="3"/>
  <c r="H271" i="3"/>
  <c r="H232" i="3"/>
  <c r="N232" i="3"/>
  <c r="J232" i="3"/>
  <c r="H186" i="3"/>
  <c r="H255" i="3"/>
  <c r="J255" i="3"/>
  <c r="L255" i="3"/>
  <c r="N255" i="3"/>
  <c r="J207" i="3"/>
  <c r="H295" i="3"/>
  <c r="J295" i="3"/>
  <c r="L295" i="3"/>
  <c r="N295" i="3"/>
  <c r="L246" i="3"/>
  <c r="H190" i="3"/>
  <c r="J190" i="3"/>
  <c r="N190" i="3"/>
  <c r="J176" i="3"/>
  <c r="L176" i="3"/>
  <c r="H275" i="3"/>
  <c r="J275" i="3"/>
  <c r="L275" i="3"/>
  <c r="N275" i="3"/>
  <c r="H151" i="3"/>
  <c r="N112" i="3"/>
  <c r="J112" i="3"/>
  <c r="H112" i="3"/>
  <c r="L102" i="3"/>
  <c r="J101" i="3"/>
  <c r="H101" i="3"/>
  <c r="N101" i="3"/>
  <c r="L101" i="3"/>
  <c r="H72" i="3"/>
  <c r="J69" i="3"/>
  <c r="H69" i="3"/>
  <c r="L69" i="3"/>
  <c r="N69" i="3"/>
  <c r="J71" i="3"/>
  <c r="N71" i="3"/>
  <c r="H8" i="3"/>
  <c r="J8" i="3"/>
  <c r="N8" i="3"/>
  <c r="L8" i="3"/>
  <c r="J13" i="3"/>
  <c r="H13" i="3"/>
  <c r="N13" i="3"/>
  <c r="L13" i="3"/>
  <c r="L640" i="3"/>
  <c r="L112" i="3"/>
  <c r="J826" i="3"/>
  <c r="J393" i="3"/>
  <c r="L393" i="3"/>
  <c r="H393" i="3"/>
  <c r="L873" i="3"/>
  <c r="L632" i="3"/>
  <c r="H604" i="3"/>
  <c r="J604" i="3"/>
  <c r="L604" i="3"/>
  <c r="H582" i="3"/>
  <c r="N582" i="3"/>
  <c r="J582" i="3"/>
  <c r="L582" i="3"/>
  <c r="J381" i="3"/>
  <c r="H381" i="3"/>
  <c r="L381" i="3"/>
  <c r="H335" i="3"/>
  <c r="N335" i="3"/>
  <c r="J335" i="3"/>
  <c r="J445" i="3"/>
  <c r="H445" i="3"/>
  <c r="N445" i="3"/>
  <c r="N425" i="3"/>
  <c r="L220" i="3"/>
  <c r="N263" i="3"/>
  <c r="N286" i="3"/>
  <c r="L239" i="3"/>
  <c r="J164" i="3"/>
  <c r="J130" i="3"/>
  <c r="L484" i="3"/>
  <c r="L360" i="3"/>
  <c r="L190" i="3"/>
  <c r="N793" i="3"/>
  <c r="N311" i="3"/>
  <c r="L793" i="3"/>
  <c r="L525" i="3"/>
  <c r="L232" i="3"/>
  <c r="J186" i="3"/>
  <c r="L642" i="3"/>
  <c r="J626" i="3"/>
  <c r="J554" i="3"/>
  <c r="N372" i="3"/>
  <c r="N320" i="3"/>
  <c r="L228" i="3"/>
  <c r="H142" i="3"/>
  <c r="N393" i="3"/>
  <c r="H802" i="3"/>
  <c r="L883" i="3"/>
  <c r="J727" i="3"/>
  <c r="H561" i="3"/>
  <c r="J561" i="3"/>
  <c r="N561" i="3"/>
  <c r="L561" i="3"/>
  <c r="N504" i="3"/>
  <c r="J504" i="3"/>
  <c r="H504" i="3"/>
  <c r="L504" i="3"/>
  <c r="H792" i="3"/>
  <c r="H786" i="3"/>
  <c r="J786" i="3"/>
  <c r="L786" i="3"/>
  <c r="H778" i="3"/>
  <c r="J778" i="3"/>
  <c r="N778" i="3"/>
  <c r="L778" i="3"/>
  <c r="H877" i="3"/>
  <c r="J877" i="3"/>
  <c r="N877" i="3"/>
  <c r="N675" i="3"/>
  <c r="L564" i="3"/>
  <c r="N505" i="3"/>
  <c r="H609" i="3"/>
  <c r="N609" i="3"/>
  <c r="L449" i="3"/>
  <c r="H356" i="3"/>
  <c r="L356" i="3"/>
  <c r="H162" i="3"/>
  <c r="J243" i="3"/>
  <c r="L243" i="3"/>
  <c r="J256" i="3"/>
  <c r="L256" i="3"/>
  <c r="N215" i="3"/>
  <c r="J153" i="3"/>
  <c r="N153" i="3"/>
  <c r="H43" i="3"/>
  <c r="J43" i="3"/>
  <c r="N43" i="3"/>
  <c r="L43" i="3"/>
  <c r="H136" i="3"/>
  <c r="N136" i="3"/>
  <c r="J136" i="3"/>
  <c r="L136" i="3"/>
  <c r="H16" i="3"/>
  <c r="N16" i="3"/>
  <c r="L16" i="3"/>
  <c r="H144" i="3"/>
  <c r="N144" i="3"/>
  <c r="J144" i="3"/>
  <c r="L144" i="3"/>
  <c r="N91" i="3"/>
  <c r="L91" i="3"/>
  <c r="H56" i="3"/>
  <c r="J56" i="3"/>
  <c r="N56" i="3"/>
  <c r="L56" i="3"/>
  <c r="H60" i="3"/>
  <c r="J60" i="3"/>
  <c r="N60" i="3"/>
  <c r="H83" i="3"/>
  <c r="J83" i="3"/>
  <c r="N83" i="3"/>
  <c r="L809" i="3"/>
  <c r="L186" i="3"/>
  <c r="N604" i="3"/>
  <c r="J436" i="3"/>
  <c r="J864" i="3"/>
  <c r="H864" i="3"/>
  <c r="H797" i="3"/>
  <c r="N797" i="3"/>
  <c r="L797" i="3"/>
  <c r="N794" i="3"/>
  <c r="H581" i="3"/>
  <c r="J581" i="3"/>
  <c r="L581" i="3"/>
  <c r="H396" i="3"/>
  <c r="L396" i="3"/>
  <c r="N396" i="3"/>
  <c r="L261" i="3"/>
  <c r="H866" i="3"/>
  <c r="H464" i="3"/>
  <c r="J464" i="3"/>
  <c r="N543" i="3"/>
  <c r="N880" i="3"/>
  <c r="H752" i="3"/>
  <c r="J752" i="3"/>
  <c r="N752" i="3"/>
  <c r="L752" i="3"/>
  <c r="H758" i="3"/>
  <c r="N758" i="3"/>
  <c r="J758" i="3"/>
  <c r="H614" i="3"/>
  <c r="J614" i="3"/>
  <c r="N614" i="3"/>
  <c r="H697" i="3"/>
  <c r="J697" i="3"/>
  <c r="L697" i="3"/>
  <c r="N697" i="3"/>
  <c r="H760" i="3"/>
  <c r="J760" i="3"/>
  <c r="L760" i="3"/>
  <c r="N760" i="3"/>
  <c r="H491" i="3"/>
  <c r="J491" i="3"/>
  <c r="N491" i="3"/>
  <c r="L491" i="3"/>
  <c r="H544" i="3"/>
  <c r="H471" i="3"/>
  <c r="J471" i="3"/>
  <c r="N471" i="3"/>
  <c r="L471" i="3"/>
  <c r="H446" i="3"/>
  <c r="N446" i="3"/>
  <c r="J446" i="3"/>
  <c r="L446" i="3"/>
  <c r="H330" i="3"/>
  <c r="J330" i="3"/>
  <c r="N330" i="3"/>
  <c r="L330" i="3"/>
  <c r="H305" i="3"/>
  <c r="J305" i="3"/>
  <c r="N305" i="3"/>
  <c r="L305" i="3"/>
  <c r="J193" i="3"/>
  <c r="H193" i="3"/>
  <c r="N193" i="3"/>
  <c r="L193" i="3"/>
  <c r="H277" i="3"/>
  <c r="J277" i="3"/>
  <c r="N277" i="3"/>
  <c r="L277" i="3"/>
  <c r="H157" i="3"/>
  <c r="J157" i="3"/>
  <c r="N157" i="3"/>
  <c r="L157" i="3"/>
  <c r="H179" i="3"/>
  <c r="J179" i="3"/>
  <c r="N179" i="3"/>
  <c r="L179" i="3"/>
  <c r="H75" i="3"/>
  <c r="J75" i="3"/>
  <c r="J901" i="3"/>
  <c r="H901" i="3"/>
  <c r="N901" i="3"/>
  <c r="L867" i="3"/>
  <c r="L609" i="3"/>
  <c r="N888" i="3"/>
  <c r="N356" i="3"/>
  <c r="H795" i="3"/>
  <c r="N795" i="3"/>
  <c r="L795" i="3"/>
  <c r="H831" i="3"/>
  <c r="J831" i="3"/>
  <c r="H886" i="3"/>
  <c r="N886" i="3"/>
  <c r="J886" i="3"/>
  <c r="H919" i="3"/>
  <c r="J919" i="3"/>
  <c r="H808" i="3"/>
  <c r="H817" i="3"/>
  <c r="N817" i="3"/>
  <c r="H678" i="3"/>
  <c r="J678" i="3"/>
  <c r="N678" i="3"/>
  <c r="H631" i="3"/>
  <c r="J631" i="3"/>
  <c r="N631" i="3"/>
  <c r="H636" i="3"/>
  <c r="J636" i="3"/>
  <c r="L636" i="3"/>
  <c r="N636" i="3"/>
  <c r="H725" i="3"/>
  <c r="J725" i="3"/>
  <c r="N725" i="3"/>
  <c r="H490" i="3"/>
  <c r="J490" i="3"/>
  <c r="L490" i="3"/>
  <c r="J421" i="3"/>
  <c r="L348" i="3"/>
  <c r="J430" i="3"/>
  <c r="J373" i="3"/>
  <c r="J366" i="3"/>
  <c r="N366" i="3"/>
  <c r="H401" i="3"/>
  <c r="J401" i="3"/>
  <c r="N401" i="3"/>
  <c r="H307" i="3"/>
  <c r="J307" i="3"/>
  <c r="N307" i="3"/>
  <c r="L307" i="3"/>
  <c r="J245" i="3"/>
  <c r="J189" i="3"/>
  <c r="N189" i="3"/>
  <c r="J175" i="3"/>
  <c r="N175" i="3"/>
  <c r="N208" i="3"/>
  <c r="H208" i="3"/>
  <c r="L208" i="3"/>
  <c r="J208" i="3"/>
  <c r="N250" i="3"/>
  <c r="J250" i="3"/>
  <c r="L250" i="3"/>
  <c r="H250" i="3"/>
  <c r="H27" i="3"/>
  <c r="J3" i="3"/>
  <c r="H105" i="3"/>
  <c r="L105" i="3"/>
  <c r="J105" i="3"/>
  <c r="N105" i="3"/>
  <c r="N104" i="3"/>
  <c r="H127" i="3"/>
  <c r="J127" i="3"/>
  <c r="N127" i="3"/>
  <c r="L127" i="3"/>
  <c r="H33" i="3"/>
  <c r="L33" i="3"/>
  <c r="N33" i="3"/>
  <c r="L678" i="3"/>
  <c r="L483" i="3"/>
  <c r="L401" i="3"/>
  <c r="N490" i="3"/>
  <c r="J713" i="3"/>
  <c r="J847" i="3"/>
  <c r="L692" i="3"/>
  <c r="J629" i="3"/>
  <c r="H482" i="3"/>
  <c r="H503" i="3"/>
  <c r="J420" i="3"/>
  <c r="J359" i="3"/>
  <c r="H433" i="3"/>
  <c r="H235" i="3"/>
  <c r="L216" i="3"/>
  <c r="H298" i="3"/>
  <c r="H282" i="3"/>
  <c r="N273" i="3"/>
  <c r="H114" i="3"/>
  <c r="N63" i="3"/>
  <c r="J7" i="3"/>
  <c r="L146" i="3"/>
  <c r="L817" i="3"/>
  <c r="J817" i="3"/>
  <c r="H800" i="3"/>
  <c r="H858" i="3"/>
  <c r="J858" i="3"/>
  <c r="N858" i="3"/>
  <c r="H790" i="3"/>
  <c r="J790" i="3"/>
  <c r="N790" i="3"/>
  <c r="H914" i="3"/>
  <c r="J914" i="3"/>
  <c r="N914" i="3"/>
  <c r="J781" i="3"/>
  <c r="H781" i="3"/>
  <c r="H748" i="3"/>
  <c r="J748" i="3"/>
  <c r="H667" i="3"/>
  <c r="J667" i="3"/>
  <c r="N667" i="3"/>
  <c r="L743" i="3"/>
  <c r="H635" i="3"/>
  <c r="N635" i="3"/>
  <c r="H654" i="3"/>
  <c r="N654" i="3"/>
  <c r="J654" i="3"/>
  <c r="H527" i="3"/>
  <c r="J527" i="3"/>
  <c r="N527" i="3"/>
  <c r="L527" i="3"/>
  <c r="H538" i="3"/>
  <c r="H513" i="3"/>
  <c r="H416" i="3"/>
  <c r="N340" i="3"/>
  <c r="J439" i="3"/>
  <c r="J308" i="3"/>
  <c r="L308" i="3"/>
  <c r="H354" i="3"/>
  <c r="N354" i="3"/>
  <c r="N194" i="3"/>
  <c r="J265" i="3"/>
  <c r="H265" i="3"/>
  <c r="L265" i="3"/>
  <c r="H252" i="3"/>
  <c r="N252" i="3"/>
  <c r="L252" i="3"/>
  <c r="H205" i="3"/>
  <c r="J205" i="3"/>
  <c r="N205" i="3"/>
  <c r="H257" i="3"/>
  <c r="J257" i="3"/>
  <c r="L257" i="3"/>
  <c r="H254" i="3"/>
  <c r="J254" i="3"/>
  <c r="N254" i="3"/>
  <c r="H225" i="3"/>
  <c r="J225" i="3"/>
  <c r="N285" i="3"/>
  <c r="H285" i="3"/>
  <c r="J285" i="3"/>
  <c r="L285" i="3"/>
  <c r="J201" i="3"/>
  <c r="L201" i="3"/>
  <c r="H80" i="3"/>
  <c r="N80" i="3"/>
  <c r="J80" i="3"/>
  <c r="L80" i="3"/>
  <c r="J78" i="3"/>
  <c r="N78" i="3"/>
  <c r="J90" i="3"/>
  <c r="N90" i="3"/>
  <c r="L90" i="3"/>
  <c r="H90" i="3"/>
  <c r="J124" i="3"/>
  <c r="L124" i="3"/>
  <c r="H51" i="3"/>
  <c r="J51" i="3"/>
  <c r="N51" i="3"/>
  <c r="H93" i="3"/>
  <c r="N93" i="3"/>
  <c r="L93" i="3"/>
  <c r="H4" i="3"/>
  <c r="J4" i="3"/>
  <c r="L4" i="3"/>
  <c r="J98" i="3"/>
  <c r="L98" i="3"/>
  <c r="J134" i="3"/>
  <c r="N134" i="3"/>
  <c r="H134" i="3"/>
  <c r="L725" i="3"/>
  <c r="L654" i="3"/>
  <c r="L631" i="3"/>
  <c r="L51" i="3"/>
  <c r="N831" i="3"/>
  <c r="N781" i="3"/>
  <c r="N265" i="3"/>
  <c r="J635" i="3"/>
  <c r="J354" i="3"/>
  <c r="J822" i="3"/>
  <c r="H879" i="3"/>
  <c r="J879" i="3"/>
  <c r="N879" i="3"/>
  <c r="L704" i="3"/>
  <c r="H728" i="3"/>
  <c r="H627" i="3"/>
  <c r="H560" i="3"/>
  <c r="H595" i="3"/>
  <c r="J595" i="3"/>
  <c r="N592" i="3"/>
  <c r="J480" i="3"/>
  <c r="N480" i="3"/>
  <c r="H480" i="3"/>
  <c r="L480" i="3"/>
  <c r="H518" i="3"/>
  <c r="N518" i="3"/>
  <c r="H470" i="3"/>
  <c r="J470" i="3"/>
  <c r="N470" i="3"/>
  <c r="J469" i="3"/>
  <c r="L469" i="3"/>
  <c r="H468" i="3"/>
  <c r="J468" i="3"/>
  <c r="L468" i="3"/>
  <c r="N468" i="3"/>
  <c r="H511" i="3"/>
  <c r="J458" i="3"/>
  <c r="N458" i="3"/>
  <c r="L458" i="3"/>
  <c r="J383" i="3"/>
  <c r="L383" i="3"/>
  <c r="H410" i="3"/>
  <c r="J410" i="3"/>
  <c r="N410" i="3"/>
  <c r="L410" i="3"/>
  <c r="J431" i="3"/>
  <c r="H432" i="3"/>
  <c r="N432" i="3"/>
  <c r="J432" i="3"/>
  <c r="L432" i="3"/>
  <c r="N326" i="3"/>
  <c r="L326" i="3"/>
  <c r="H364" i="3"/>
  <c r="N364" i="3"/>
  <c r="J364" i="3"/>
  <c r="L364" i="3"/>
  <c r="J365" i="3"/>
  <c r="H353" i="3"/>
  <c r="N163" i="3"/>
  <c r="J163" i="3"/>
  <c r="L163" i="3"/>
  <c r="H197" i="3"/>
  <c r="L192" i="3"/>
  <c r="H230" i="3"/>
  <c r="N230" i="3"/>
  <c r="L230" i="3"/>
  <c r="J230" i="3"/>
  <c r="H222" i="3"/>
  <c r="J222" i="3"/>
  <c r="N222" i="3"/>
  <c r="L222" i="3"/>
  <c r="H214" i="3"/>
  <c r="J214" i="3"/>
  <c r="N214" i="3"/>
  <c r="H251" i="3"/>
  <c r="N272" i="3"/>
  <c r="J79" i="3"/>
  <c r="H79" i="3"/>
  <c r="L79" i="3"/>
  <c r="N79" i="3"/>
  <c r="H117" i="3"/>
  <c r="J117" i="3"/>
  <c r="N117" i="3"/>
  <c r="J128" i="3"/>
  <c r="H128" i="3"/>
  <c r="L128" i="3"/>
  <c r="J109" i="3"/>
  <c r="L109" i="3"/>
  <c r="N97" i="3"/>
  <c r="H96" i="3"/>
  <c r="J96" i="3"/>
  <c r="N96" i="3"/>
  <c r="H86" i="3"/>
  <c r="J86" i="3"/>
  <c r="L86" i="3"/>
  <c r="N86" i="3"/>
  <c r="L879" i="3"/>
  <c r="L858" i="3"/>
  <c r="L790" i="3"/>
  <c r="L635" i="3"/>
  <c r="L470" i="3"/>
  <c r="L50" i="3"/>
  <c r="N919" i="3"/>
  <c r="N709" i="3"/>
  <c r="J560" i="3"/>
  <c r="J353" i="3"/>
  <c r="H15" i="3"/>
  <c r="H94" i="3"/>
  <c r="J59" i="3"/>
  <c r="N15" i="3"/>
  <c r="L2" i="3"/>
  <c r="J2" i="3"/>
  <c r="H2" i="3"/>
  <c r="L36" i="2"/>
  <c r="L35" i="2"/>
  <c r="I36" i="2"/>
  <c r="I37" i="2"/>
  <c r="I34" i="2"/>
  <c r="F37" i="2"/>
  <c r="F36" i="2"/>
  <c r="F34" i="2"/>
  <c r="C35" i="2"/>
  <c r="C41" i="2"/>
  <c r="C40" i="2"/>
  <c r="C38" i="2"/>
  <c r="C39" i="2"/>
  <c r="C37" i="2"/>
  <c r="C34" i="2"/>
  <c r="H791" i="3" l="1"/>
  <c r="J853" i="3"/>
  <c r="L747" i="3"/>
  <c r="L553" i="3"/>
  <c r="N906" i="3"/>
  <c r="N755" i="3"/>
  <c r="L349" i="3"/>
  <c r="J510" i="3"/>
  <c r="H22" i="3"/>
  <c r="J533" i="3"/>
  <c r="H910" i="3"/>
  <c r="H669" i="3"/>
  <c r="N433" i="3"/>
  <c r="H693" i="3"/>
  <c r="L750" i="3"/>
  <c r="N617" i="3"/>
  <c r="N20" i="3"/>
  <c r="L241" i="3"/>
  <c r="N911" i="3"/>
  <c r="H575" i="3"/>
  <c r="L549" i="3"/>
  <c r="J135" i="3"/>
  <c r="J216" i="3"/>
  <c r="H351" i="3"/>
  <c r="N818" i="3"/>
  <c r="H348" i="3"/>
  <c r="J866" i="3"/>
  <c r="N494" i="3"/>
  <c r="H896" i="3"/>
  <c r="L558" i="3"/>
  <c r="H891" i="3"/>
  <c r="J483" i="3"/>
  <c r="H50" i="3"/>
  <c r="N154" i="3"/>
  <c r="H367" i="3"/>
  <c r="L542" i="3"/>
  <c r="J227" i="3"/>
  <c r="N588" i="3"/>
  <c r="L10" i="3"/>
  <c r="N792" i="3"/>
  <c r="J180" i="3"/>
  <c r="N65" i="3"/>
  <c r="N836" i="3"/>
  <c r="N482" i="3"/>
  <c r="H70" i="3"/>
  <c r="N200" i="3"/>
  <c r="N192" i="3"/>
  <c r="N210" i="3"/>
  <c r="H340" i="3"/>
  <c r="N22" i="3"/>
  <c r="J210" i="3"/>
  <c r="J433" i="3"/>
  <c r="H467" i="3"/>
  <c r="L52" i="3"/>
  <c r="J792" i="3"/>
  <c r="J889" i="3"/>
  <c r="N239" i="3"/>
  <c r="L426" i="3"/>
  <c r="N829" i="3"/>
  <c r="L114" i="3"/>
  <c r="J35" i="3"/>
  <c r="N627" i="3"/>
  <c r="J891" i="3"/>
  <c r="L223" i="3"/>
  <c r="L444" i="3"/>
  <c r="N50" i="3"/>
  <c r="H7" i="3"/>
  <c r="J273" i="3"/>
  <c r="J322" i="3"/>
  <c r="H634" i="3"/>
  <c r="J104" i="3"/>
  <c r="J52" i="3"/>
  <c r="N808" i="3"/>
  <c r="J10" i="3"/>
  <c r="J147" i="3"/>
  <c r="J505" i="3"/>
  <c r="L664" i="3"/>
  <c r="N180" i="3"/>
  <c r="H372" i="3"/>
  <c r="J133" i="3"/>
  <c r="J239" i="3"/>
  <c r="J747" i="3"/>
  <c r="N902" i="3"/>
  <c r="N18" i="3"/>
  <c r="N177" i="3"/>
  <c r="N349" i="3"/>
  <c r="N119" i="3"/>
  <c r="J63" i="3"/>
  <c r="H210" i="3"/>
  <c r="L367" i="3"/>
  <c r="J555" i="3"/>
  <c r="N373" i="3"/>
  <c r="L853" i="3"/>
  <c r="N261" i="3"/>
  <c r="J707" i="3"/>
  <c r="H180" i="3"/>
  <c r="H130" i="3"/>
  <c r="J425" i="3"/>
  <c r="N390" i="3"/>
  <c r="L94" i="3"/>
  <c r="N535" i="3"/>
  <c r="N428" i="3"/>
  <c r="J709" i="3"/>
  <c r="L899" i="3"/>
  <c r="N348" i="3"/>
  <c r="J146" i="3"/>
  <c r="N135" i="3"/>
  <c r="J298" i="3"/>
  <c r="J310" i="3"/>
  <c r="J351" i="3"/>
  <c r="H558" i="3"/>
  <c r="N392" i="3"/>
  <c r="L430" i="3"/>
  <c r="H588" i="3"/>
  <c r="H853" i="3"/>
  <c r="L554" i="3"/>
  <c r="J395" i="3"/>
  <c r="H228" i="3"/>
  <c r="L724" i="3"/>
  <c r="N147" i="3"/>
  <c r="J263" i="3"/>
  <c r="H829" i="3"/>
  <c r="J97" i="3"/>
  <c r="N538" i="3"/>
  <c r="H310" i="3"/>
  <c r="H899" i="3"/>
  <c r="H52" i="3"/>
  <c r="L227" i="3"/>
  <c r="N292" i="3"/>
  <c r="L597" i="3"/>
  <c r="N803" i="3"/>
  <c r="J372" i="3"/>
  <c r="J724" i="3"/>
  <c r="N280" i="3"/>
  <c r="J478" i="3"/>
  <c r="J369" i="3"/>
  <c r="H787" i="3"/>
  <c r="J94" i="3"/>
  <c r="N353" i="3"/>
  <c r="L518" i="3"/>
  <c r="N891" i="3"/>
  <c r="N899" i="3"/>
  <c r="J538" i="3"/>
  <c r="H216" i="3"/>
  <c r="N351" i="3"/>
  <c r="H555" i="3"/>
  <c r="J617" i="3"/>
  <c r="N837" i="3"/>
  <c r="N227" i="3"/>
  <c r="H597" i="3"/>
  <c r="J902" i="3"/>
  <c r="J898" i="3"/>
  <c r="L142" i="3"/>
  <c r="L505" i="3"/>
  <c r="H724" i="3"/>
  <c r="N130" i="3"/>
  <c r="N478" i="3"/>
  <c r="H780" i="3"/>
  <c r="L780" i="3"/>
  <c r="L574" i="3"/>
  <c r="N574" i="3"/>
  <c r="J708" i="3"/>
  <c r="N708" i="3"/>
  <c r="J880" i="3"/>
  <c r="L880" i="3"/>
  <c r="N674" i="3"/>
  <c r="H674" i="3"/>
  <c r="L592" i="3"/>
  <c r="H592" i="3"/>
  <c r="N511" i="3"/>
  <c r="J511" i="3"/>
  <c r="N383" i="3"/>
  <c r="H383" i="3"/>
  <c r="N431" i="3"/>
  <c r="H431" i="3"/>
  <c r="H366" i="3"/>
  <c r="L366" i="3"/>
  <c r="H175" i="3"/>
  <c r="L175" i="3"/>
  <c r="H3" i="3"/>
  <c r="L3" i="3"/>
  <c r="J417" i="3"/>
  <c r="L417" i="3"/>
  <c r="L251" i="3"/>
  <c r="J251" i="3"/>
  <c r="N308" i="3"/>
  <c r="H308" i="3"/>
  <c r="H194" i="3"/>
  <c r="L194" i="3"/>
  <c r="N124" i="3"/>
  <c r="H124" i="3"/>
  <c r="H98" i="3"/>
  <c r="N98" i="3"/>
  <c r="N243" i="3"/>
  <c r="H243" i="3"/>
  <c r="N256" i="3"/>
  <c r="H256" i="3"/>
  <c r="H153" i="3"/>
  <c r="L153" i="3"/>
  <c r="L75" i="3"/>
  <c r="N75" i="3"/>
  <c r="J91" i="3"/>
  <c r="H91" i="3"/>
  <c r="H71" i="3"/>
  <c r="L71" i="3"/>
  <c r="L830" i="3"/>
  <c r="N830" i="3"/>
  <c r="L847" i="3"/>
  <c r="H847" i="3"/>
  <c r="L618" i="3"/>
  <c r="J618" i="3"/>
  <c r="L634" i="3"/>
  <c r="J634" i="3"/>
  <c r="H692" i="3"/>
  <c r="J692" i="3"/>
  <c r="L629" i="3"/>
  <c r="H629" i="3"/>
  <c r="J803" i="3"/>
  <c r="L803" i="3"/>
  <c r="L825" i="3"/>
  <c r="N825" i="3"/>
  <c r="N883" i="3"/>
  <c r="H883" i="3"/>
  <c r="N632" i="3"/>
  <c r="H632" i="3"/>
  <c r="H687" i="3"/>
  <c r="J687" i="3"/>
  <c r="L528" i="3"/>
  <c r="N528" i="3"/>
  <c r="J528" i="3"/>
  <c r="L544" i="3"/>
  <c r="J544" i="3"/>
  <c r="N394" i="3"/>
  <c r="H394" i="3"/>
  <c r="J712" i="3"/>
  <c r="L712" i="3"/>
  <c r="N704" i="3"/>
  <c r="H704" i="3"/>
  <c r="L759" i="3"/>
  <c r="N759" i="3"/>
  <c r="J840" i="3"/>
  <c r="L840" i="3"/>
  <c r="J754" i="3"/>
  <c r="H754" i="3"/>
  <c r="L754" i="3"/>
  <c r="N754" i="3"/>
  <c r="H642" i="3"/>
  <c r="J642" i="3"/>
  <c r="N626" i="3"/>
  <c r="L626" i="3"/>
  <c r="L601" i="3"/>
  <c r="H601" i="3"/>
  <c r="J338" i="3"/>
  <c r="N338" i="3"/>
  <c r="L566" i="3"/>
  <c r="N566" i="3"/>
  <c r="L575" i="3"/>
  <c r="J575" i="3"/>
  <c r="N513" i="3"/>
  <c r="J513" i="3"/>
  <c r="L315" i="3"/>
  <c r="N315" i="3"/>
  <c r="J444" i="3"/>
  <c r="N444" i="3"/>
  <c r="L378" i="3"/>
  <c r="H378" i="3"/>
  <c r="J292" i="3"/>
  <c r="H292" i="3"/>
  <c r="L421" i="3"/>
  <c r="N421" i="3"/>
  <c r="L398" i="3"/>
  <c r="N398" i="3"/>
  <c r="J197" i="3"/>
  <c r="N197" i="3"/>
  <c r="H35" i="3"/>
  <c r="L35" i="3"/>
  <c r="L392" i="3"/>
  <c r="H392" i="3"/>
  <c r="N542" i="3"/>
  <c r="J542" i="3"/>
  <c r="N359" i="3"/>
  <c r="L359" i="3"/>
  <c r="H200" i="3"/>
  <c r="L200" i="3"/>
  <c r="H300" i="3"/>
  <c r="N300" i="3"/>
  <c r="H280" i="3"/>
  <c r="L280" i="3"/>
  <c r="H220" i="3"/>
  <c r="J220" i="3"/>
  <c r="J286" i="3"/>
  <c r="L286" i="3"/>
  <c r="N164" i="3"/>
  <c r="L164" i="3"/>
  <c r="L54" i="3"/>
  <c r="H54" i="3"/>
  <c r="J54" i="3"/>
  <c r="L133" i="3"/>
  <c r="N133" i="3"/>
  <c r="J320" i="3"/>
  <c r="H320" i="3"/>
  <c r="H242" i="3"/>
  <c r="L242" i="3"/>
  <c r="L213" i="3"/>
  <c r="J213" i="3"/>
  <c r="L59" i="3"/>
  <c r="N59" i="3"/>
  <c r="L235" i="3"/>
  <c r="J235" i="3"/>
  <c r="L15" i="3"/>
  <c r="N780" i="3"/>
  <c r="H109" i="3"/>
  <c r="H272" i="3"/>
  <c r="J192" i="3"/>
  <c r="H326" i="3"/>
  <c r="L511" i="3"/>
  <c r="H469" i="3"/>
  <c r="N560" i="3"/>
  <c r="H709" i="3"/>
  <c r="L78" i="3"/>
  <c r="N201" i="3"/>
  <c r="J194" i="3"/>
  <c r="L340" i="3"/>
  <c r="L513" i="3"/>
  <c r="J657" i="3"/>
  <c r="H633" i="3"/>
  <c r="N322" i="3"/>
  <c r="N367" i="3"/>
  <c r="L322" i="3"/>
  <c r="J573" i="3"/>
  <c r="J558" i="3"/>
  <c r="H618" i="3"/>
  <c r="N3" i="3"/>
  <c r="N430" i="3"/>
  <c r="H483" i="3"/>
  <c r="H708" i="3"/>
  <c r="L425" i="3"/>
  <c r="L787" i="3"/>
  <c r="L338" i="3"/>
  <c r="J142" i="3"/>
  <c r="J228" i="3"/>
  <c r="H554" i="3"/>
  <c r="H740" i="3"/>
  <c r="H557" i="3"/>
  <c r="J300" i="3"/>
  <c r="N747" i="3"/>
  <c r="H213" i="3"/>
  <c r="H840" i="3"/>
  <c r="J745" i="3"/>
  <c r="L808" i="3"/>
  <c r="H146" i="3"/>
  <c r="H63" i="3"/>
  <c r="H273" i="3"/>
  <c r="L7" i="3"/>
  <c r="J114" i="3"/>
  <c r="J447" i="3"/>
  <c r="J452" i="3"/>
  <c r="L119" i="3"/>
  <c r="N757" i="3"/>
  <c r="L67" i="3"/>
  <c r="J261" i="3"/>
  <c r="L744" i="3"/>
  <c r="J833" i="3"/>
  <c r="N673" i="3"/>
  <c r="J540" i="3"/>
  <c r="N770" i="3"/>
  <c r="J829" i="3"/>
  <c r="N24" i="3"/>
  <c r="L717" i="3"/>
  <c r="N744" i="3"/>
  <c r="H833" i="3"/>
  <c r="L76" i="3"/>
  <c r="H673" i="3"/>
  <c r="J770" i="3"/>
  <c r="H894" i="3"/>
  <c r="J24" i="3"/>
  <c r="H452" i="3"/>
  <c r="J119" i="3"/>
  <c r="L282" i="3"/>
  <c r="L77" i="3"/>
  <c r="H610" i="3"/>
  <c r="L259" i="3"/>
  <c r="H24" i="3"/>
  <c r="J18" i="3"/>
  <c r="L135" i="3"/>
  <c r="J154" i="3"/>
  <c r="J282" i="3"/>
  <c r="L503" i="3"/>
  <c r="J467" i="3"/>
  <c r="N693" i="3"/>
  <c r="J610" i="3"/>
  <c r="N357" i="3"/>
  <c r="N395" i="3"/>
  <c r="N76" i="3"/>
  <c r="H895" i="3"/>
  <c r="H770" i="3"/>
  <c r="J30" i="3"/>
  <c r="H18" i="3"/>
  <c r="N701" i="3"/>
  <c r="L111" i="3"/>
  <c r="J516" i="3"/>
  <c r="L143" i="3"/>
  <c r="L177" i="3"/>
  <c r="J279" i="3"/>
  <c r="J693" i="3"/>
  <c r="H549" i="3"/>
  <c r="H357" i="3"/>
  <c r="L174" i="3"/>
  <c r="J744" i="3"/>
  <c r="H835" i="3"/>
  <c r="J76" i="3"/>
  <c r="J895" i="3"/>
  <c r="L390" i="3"/>
  <c r="L495" i="3"/>
  <c r="J226" i="3"/>
  <c r="J358" i="3"/>
  <c r="L533" i="3"/>
  <c r="J357" i="3"/>
  <c r="J174" i="3"/>
  <c r="N522" i="3"/>
  <c r="J620" i="3"/>
  <c r="N615" i="3"/>
  <c r="L753" i="3"/>
  <c r="L895" i="3"/>
  <c r="J390" i="3"/>
  <c r="N314" i="3"/>
  <c r="L161" i="3"/>
  <c r="J911" i="3"/>
  <c r="L683" i="3"/>
  <c r="N92" i="3"/>
  <c r="J161" i="3"/>
  <c r="N111" i="3"/>
  <c r="H441" i="3"/>
  <c r="H535" i="3"/>
  <c r="J143" i="3"/>
  <c r="J177" i="3"/>
  <c r="J241" i="3"/>
  <c r="J482" i="3"/>
  <c r="H161" i="3"/>
  <c r="H428" i="3"/>
  <c r="L22" i="3"/>
  <c r="N143" i="3"/>
  <c r="L154" i="3"/>
  <c r="H241" i="3"/>
  <c r="H358" i="3"/>
  <c r="N610" i="3"/>
  <c r="H533" i="3"/>
  <c r="H174" i="3"/>
  <c r="L833" i="3"/>
  <c r="J673" i="3"/>
  <c r="H438" i="3"/>
  <c r="J438" i="3"/>
  <c r="J463" i="3"/>
  <c r="L463" i="3"/>
  <c r="L188" i="3"/>
  <c r="J188" i="3"/>
  <c r="H874" i="3"/>
  <c r="J874" i="3"/>
  <c r="L814" i="3"/>
  <c r="H814" i="3"/>
  <c r="N814" i="3"/>
  <c r="L757" i="3"/>
  <c r="J757" i="3"/>
  <c r="H497" i="3"/>
  <c r="N497" i="3"/>
  <c r="L497" i="3"/>
  <c r="J776" i="3"/>
  <c r="H776" i="3"/>
  <c r="N776" i="3"/>
  <c r="J755" i="3"/>
  <c r="H755" i="3"/>
  <c r="N873" i="3"/>
  <c r="H873" i="3"/>
  <c r="J873" i="3"/>
  <c r="J669" i="3"/>
  <c r="L669" i="3"/>
  <c r="L545" i="3"/>
  <c r="H545" i="3"/>
  <c r="J545" i="3"/>
  <c r="N245" i="3"/>
  <c r="L245" i="3"/>
  <c r="H245" i="3"/>
  <c r="J77" i="3"/>
  <c r="H77" i="3"/>
  <c r="J347" i="3"/>
  <c r="N347" i="3"/>
  <c r="L347" i="3"/>
  <c r="J429" i="3"/>
  <c r="N429" i="3"/>
  <c r="L365" i="3"/>
  <c r="H365" i="3"/>
  <c r="N297" i="3"/>
  <c r="L297" i="3"/>
  <c r="J70" i="3"/>
  <c r="L70" i="3"/>
  <c r="H341" i="3"/>
  <c r="N341" i="3"/>
  <c r="L341" i="3"/>
  <c r="L64" i="3"/>
  <c r="H64" i="3"/>
  <c r="J64" i="3"/>
  <c r="N64" i="3"/>
  <c r="N523" i="3"/>
  <c r="H523" i="3"/>
  <c r="L523" i="3"/>
  <c r="H546" i="3"/>
  <c r="J546" i="3"/>
  <c r="N546" i="3"/>
  <c r="L546" i="3"/>
  <c r="N420" i="3"/>
  <c r="L420" i="3"/>
  <c r="L92" i="3"/>
  <c r="J92" i="3"/>
  <c r="H426" i="3"/>
  <c r="J426" i="3"/>
  <c r="H198" i="3"/>
  <c r="J198" i="3"/>
  <c r="L198" i="3"/>
  <c r="N198" i="3"/>
  <c r="H182" i="3"/>
  <c r="L182" i="3"/>
  <c r="N182" i="3"/>
  <c r="H31" i="3"/>
  <c r="J31" i="3"/>
  <c r="N31" i="3"/>
  <c r="N132" i="3"/>
  <c r="J132" i="3"/>
  <c r="H132" i="3"/>
  <c r="J14" i="3"/>
  <c r="N14" i="3"/>
  <c r="L14" i="3"/>
  <c r="L303" i="3"/>
  <c r="H303" i="3"/>
  <c r="J303" i="3"/>
  <c r="N303" i="3"/>
  <c r="J293" i="3"/>
  <c r="H293" i="3"/>
  <c r="L293" i="3"/>
  <c r="N293" i="3"/>
  <c r="J167" i="3"/>
  <c r="L167" i="3"/>
  <c r="J39" i="3"/>
  <c r="L39" i="3"/>
  <c r="H39" i="3"/>
  <c r="L20" i="3"/>
  <c r="H20" i="3"/>
  <c r="N440" i="3"/>
  <c r="H440" i="3"/>
  <c r="J440" i="3"/>
  <c r="L269" i="3"/>
  <c r="H269" i="3"/>
  <c r="J269" i="3"/>
  <c r="N269" i="3"/>
  <c r="L279" i="3"/>
  <c r="N279" i="3"/>
  <c r="L910" i="3"/>
  <c r="J910" i="3"/>
  <c r="L904" i="3"/>
  <c r="J904" i="3"/>
  <c r="H904" i="3"/>
  <c r="N904" i="3"/>
  <c r="J126" i="3"/>
  <c r="N126" i="3"/>
  <c r="L221" i="3"/>
  <c r="J221" i="3"/>
  <c r="L212" i="3"/>
  <c r="J212" i="3"/>
  <c r="J477" i="3"/>
  <c r="L477" i="3"/>
  <c r="L371" i="3"/>
  <c r="N371" i="3"/>
  <c r="J495" i="3"/>
  <c r="N495" i="3"/>
  <c r="L510" i="3"/>
  <c r="H510" i="3"/>
  <c r="N404" i="3"/>
  <c r="J404" i="3"/>
  <c r="L37" i="3"/>
  <c r="N37" i="3"/>
  <c r="L822" i="3"/>
  <c r="N822" i="3"/>
  <c r="L404" i="3"/>
  <c r="J111" i="3"/>
  <c r="N234" i="3"/>
  <c r="J774" i="3"/>
  <c r="N67" i="3"/>
  <c r="L796" i="3"/>
  <c r="N796" i="3"/>
  <c r="L841" i="3"/>
  <c r="J841" i="3"/>
  <c r="N841" i="3"/>
  <c r="L730" i="3"/>
  <c r="H730" i="3"/>
  <c r="J730" i="3"/>
  <c r="L666" i="3"/>
  <c r="N666" i="3"/>
  <c r="L802" i="3"/>
  <c r="N802" i="3"/>
  <c r="J819" i="3"/>
  <c r="H819" i="3"/>
  <c r="N819" i="3"/>
  <c r="L746" i="3"/>
  <c r="H746" i="3"/>
  <c r="J746" i="3"/>
  <c r="H552" i="3"/>
  <c r="N552" i="3"/>
  <c r="J552" i="3"/>
  <c r="L854" i="3"/>
  <c r="J854" i="3"/>
  <c r="L650" i="3"/>
  <c r="J650" i="3"/>
  <c r="H494" i="3"/>
  <c r="J494" i="3"/>
  <c r="L711" i="3"/>
  <c r="H711" i="3"/>
  <c r="N711" i="3"/>
  <c r="J711" i="3"/>
  <c r="H726" i="3"/>
  <c r="N726" i="3"/>
  <c r="J726" i="3"/>
  <c r="L726" i="3"/>
  <c r="N559" i="3"/>
  <c r="L559" i="3"/>
  <c r="H404" i="3"/>
  <c r="N650" i="3"/>
  <c r="H854" i="3"/>
  <c r="N737" i="3"/>
  <c r="H820" i="3"/>
  <c r="J814" i="3"/>
  <c r="L395" i="3"/>
  <c r="L615" i="3"/>
  <c r="N602" i="3"/>
  <c r="J17" i="3"/>
  <c r="J297" i="3"/>
  <c r="J701" i="3"/>
  <c r="H650" i="3"/>
  <c r="J679" i="3"/>
  <c r="L535" i="3"/>
  <c r="J416" i="3"/>
  <c r="N441" i="3"/>
  <c r="H349" i="3"/>
  <c r="N545" i="3"/>
  <c r="J602" i="3"/>
  <c r="J737" i="3"/>
  <c r="H420" i="3"/>
  <c r="N503" i="3"/>
  <c r="J666" i="3"/>
  <c r="H717" i="3"/>
  <c r="L373" i="3"/>
  <c r="L95" i="3"/>
  <c r="J223" i="3"/>
  <c r="J559" i="3"/>
  <c r="H661" i="3"/>
  <c r="L874" i="3"/>
  <c r="N34" i="3"/>
  <c r="J664" i="3"/>
  <c r="L819" i="3"/>
  <c r="N477" i="3"/>
  <c r="L65" i="3"/>
  <c r="N259" i="3"/>
  <c r="N167" i="3"/>
  <c r="J615" i="3"/>
  <c r="H796" i="3"/>
  <c r="H5" i="3"/>
  <c r="J5" i="3"/>
  <c r="L722" i="3"/>
  <c r="H722" i="3"/>
  <c r="H345" i="3"/>
  <c r="L345" i="3"/>
  <c r="L73" i="3"/>
  <c r="N73" i="3"/>
  <c r="N25" i="3"/>
  <c r="L25" i="3"/>
  <c r="N181" i="3"/>
  <c r="L862" i="3"/>
  <c r="N862" i="3"/>
  <c r="J715" i="3"/>
  <c r="H715" i="3"/>
  <c r="N715" i="3"/>
  <c r="L715" i="3"/>
  <c r="L209" i="3"/>
  <c r="N209" i="3"/>
  <c r="J29" i="3"/>
  <c r="H29" i="3"/>
  <c r="N29" i="3"/>
  <c r="H49" i="3"/>
  <c r="J49" i="3"/>
  <c r="L438" i="3"/>
  <c r="L861" i="3"/>
  <c r="J861" i="3"/>
  <c r="J422" i="3"/>
  <c r="H422" i="3"/>
  <c r="N422" i="3"/>
  <c r="L422" i="3"/>
  <c r="N811" i="3"/>
  <c r="J811" i="3"/>
  <c r="H811" i="3"/>
  <c r="L811" i="3"/>
  <c r="N714" i="3"/>
  <c r="L714" i="3"/>
  <c r="N727" i="3"/>
  <c r="L727" i="3"/>
  <c r="H727" i="3"/>
  <c r="L728" i="3"/>
  <c r="N728" i="3"/>
  <c r="J455" i="3"/>
  <c r="L455" i="3"/>
  <c r="N845" i="3"/>
  <c r="H845" i="3"/>
  <c r="L845" i="3"/>
  <c r="N889" i="3"/>
  <c r="H889" i="3"/>
  <c r="L556" i="3"/>
  <c r="H556" i="3"/>
  <c r="N556" i="3"/>
  <c r="L516" i="3"/>
  <c r="H516" i="3"/>
  <c r="L590" i="3"/>
  <c r="H590" i="3"/>
  <c r="J590" i="3"/>
  <c r="N590" i="3"/>
  <c r="H701" i="3"/>
  <c r="L679" i="3"/>
  <c r="H911" i="3"/>
  <c r="L202" i="3"/>
  <c r="H234" i="3"/>
  <c r="L441" i="3"/>
  <c r="N549" i="3"/>
  <c r="N664" i="3"/>
  <c r="J796" i="3"/>
  <c r="N30" i="3"/>
  <c r="H297" i="3"/>
  <c r="J428" i="3"/>
  <c r="L447" i="3"/>
  <c r="H679" i="3"/>
  <c r="N730" i="3"/>
  <c r="L452" i="3"/>
  <c r="N416" i="3"/>
  <c r="H602" i="3"/>
  <c r="L358" i="3"/>
  <c r="L467" i="3"/>
  <c r="H666" i="3"/>
  <c r="J717" i="3"/>
  <c r="N861" i="3"/>
  <c r="H223" i="3"/>
  <c r="L429" i="3"/>
  <c r="H559" i="3"/>
  <c r="N874" i="3"/>
  <c r="H714" i="3"/>
  <c r="L552" i="3"/>
  <c r="J65" i="3"/>
  <c r="L263" i="3"/>
  <c r="J259" i="3"/>
  <c r="H167" i="3"/>
  <c r="N455" i="3"/>
  <c r="N692" i="3"/>
  <c r="H617" i="3"/>
  <c r="H818" i="3"/>
  <c r="N707" i="3"/>
  <c r="N835" i="3"/>
  <c r="N369" i="3"/>
  <c r="H478" i="3"/>
  <c r="L902" i="3"/>
  <c r="H369" i="3"/>
  <c r="N787" i="3"/>
  <c r="N11" i="3"/>
  <c r="L189" i="3"/>
  <c r="H189" i="3"/>
  <c r="N27" i="3"/>
  <c r="L27" i="3"/>
  <c r="L162" i="3"/>
  <c r="N162" i="3"/>
  <c r="L215" i="3"/>
  <c r="J215" i="3"/>
  <c r="H207" i="3"/>
  <c r="L207" i="3"/>
  <c r="H246" i="3"/>
  <c r="N246" i="3"/>
  <c r="L794" i="3"/>
  <c r="J794" i="3"/>
  <c r="N826" i="3"/>
  <c r="H826" i="3"/>
  <c r="L501" i="3"/>
  <c r="J501" i="3"/>
  <c r="N573" i="3"/>
  <c r="L573" i="3"/>
  <c r="N342" i="3"/>
  <c r="J342" i="3"/>
  <c r="L342" i="3"/>
  <c r="L864" i="3"/>
  <c r="N864" i="3"/>
  <c r="L835" i="3"/>
  <c r="L837" i="3"/>
  <c r="H837" i="3"/>
  <c r="L687" i="3"/>
  <c r="N687" i="3"/>
  <c r="L740" i="3"/>
  <c r="N740" i="3"/>
  <c r="H59" i="3"/>
  <c r="L588" i="3"/>
  <c r="H97" i="3"/>
  <c r="J627" i="3"/>
  <c r="H759" i="3"/>
  <c r="H712" i="3"/>
  <c r="J378" i="3"/>
  <c r="H315" i="3"/>
  <c r="J566" i="3"/>
  <c r="L310" i="3"/>
  <c r="N555" i="3"/>
  <c r="N629" i="3"/>
  <c r="N618" i="3"/>
  <c r="L104" i="3"/>
  <c r="J398" i="3"/>
  <c r="H501" i="3"/>
  <c r="J597" i="3"/>
  <c r="L394" i="3"/>
  <c r="N10" i="3"/>
  <c r="H830" i="3"/>
  <c r="H338" i="3"/>
  <c r="H707" i="3"/>
  <c r="N242" i="3"/>
  <c r="N54" i="3"/>
  <c r="H147" i="3"/>
  <c r="H164" i="3"/>
  <c r="J632" i="3"/>
  <c r="J825" i="3"/>
  <c r="L849" i="3"/>
  <c r="J849" i="3"/>
  <c r="H849" i="3"/>
  <c r="N849" i="3"/>
  <c r="L824" i="3"/>
  <c r="H824" i="3"/>
  <c r="J824" i="3"/>
  <c r="N705" i="3"/>
  <c r="L705" i="3"/>
  <c r="L506" i="3"/>
  <c r="N506" i="3"/>
  <c r="L912" i="3"/>
  <c r="N912" i="3"/>
  <c r="H912" i="3"/>
  <c r="J912" i="3"/>
  <c r="N651" i="3"/>
  <c r="J651" i="3"/>
  <c r="H651" i="3"/>
  <c r="L651" i="3"/>
  <c r="L768" i="3"/>
  <c r="J768" i="3"/>
  <c r="N768" i="3"/>
  <c r="L761" i="3"/>
  <c r="H761" i="3"/>
  <c r="J761" i="3"/>
  <c r="L541" i="3"/>
  <c r="J541" i="3"/>
  <c r="N541" i="3"/>
  <c r="H541" i="3"/>
  <c r="H843" i="3"/>
  <c r="N843" i="3"/>
  <c r="L843" i="3"/>
  <c r="J843" i="3"/>
  <c r="L662" i="3"/>
  <c r="H662" i="3"/>
  <c r="J662" i="3"/>
  <c r="L488" i="3"/>
  <c r="H488" i="3"/>
  <c r="J488" i="3"/>
  <c r="J512" i="3"/>
  <c r="N512" i="3"/>
  <c r="H512" i="3"/>
  <c r="L512" i="3"/>
  <c r="J249" i="3"/>
  <c r="H249" i="3"/>
  <c r="L249" i="3"/>
  <c r="N249" i="3"/>
  <c r="L508" i="3"/>
  <c r="N508" i="3"/>
  <c r="H508" i="3"/>
  <c r="J508" i="3"/>
  <c r="J380" i="3"/>
  <c r="N380" i="3"/>
  <c r="J48" i="3"/>
  <c r="H48" i="3"/>
  <c r="N48" i="3"/>
  <c r="L48" i="3"/>
  <c r="J131" i="3"/>
  <c r="N131" i="3"/>
  <c r="L131" i="3"/>
  <c r="H131" i="3"/>
  <c r="L537" i="3"/>
  <c r="N537" i="3"/>
  <c r="J327" i="3"/>
  <c r="L327" i="3"/>
  <c r="H327" i="3"/>
  <c r="J264" i="3"/>
  <c r="H264" i="3"/>
  <c r="L264" i="3"/>
  <c r="N264" i="3"/>
  <c r="N81" i="3"/>
  <c r="L81" i="3"/>
  <c r="J81" i="3"/>
  <c r="J55" i="3"/>
  <c r="N55" i="3"/>
  <c r="H55" i="3"/>
  <c r="L55" i="3"/>
  <c r="H304" i="3"/>
  <c r="N304" i="3"/>
  <c r="J304" i="3"/>
  <c r="L248" i="3"/>
  <c r="N248" i="3"/>
  <c r="J248" i="3"/>
  <c r="H248" i="3"/>
  <c r="L74" i="3"/>
  <c r="H74" i="3"/>
  <c r="N74" i="3"/>
  <c r="J74" i="3"/>
  <c r="J289" i="3"/>
  <c r="N289" i="3"/>
  <c r="N32" i="3"/>
  <c r="H32" i="3"/>
  <c r="J32" i="3"/>
  <c r="L32" i="3"/>
  <c r="J799" i="3"/>
  <c r="L799" i="3"/>
  <c r="H799" i="3"/>
  <c r="N799" i="3"/>
  <c r="L304" i="3"/>
  <c r="J918" i="3"/>
  <c r="L918" i="3"/>
  <c r="J716" i="3"/>
  <c r="N716" i="3"/>
  <c r="H716" i="3"/>
  <c r="L716" i="3"/>
  <c r="N653" i="3"/>
  <c r="L653" i="3"/>
  <c r="H653" i="3"/>
  <c r="J653" i="3"/>
  <c r="H325" i="3"/>
  <c r="L325" i="3"/>
  <c r="N325" i="3"/>
  <c r="L805" i="3"/>
  <c r="J805" i="3"/>
  <c r="N805" i="3"/>
  <c r="L732" i="3"/>
  <c r="J732" i="3"/>
  <c r="N732" i="3"/>
  <c r="H732" i="3"/>
  <c r="L878" i="3"/>
  <c r="H878" i="3"/>
  <c r="N878" i="3"/>
  <c r="J878" i="3"/>
  <c r="L731" i="3"/>
  <c r="H731" i="3"/>
  <c r="N731" i="3"/>
  <c r="N572" i="3"/>
  <c r="H572" i="3"/>
  <c r="J572" i="3"/>
  <c r="L572" i="3"/>
  <c r="L876" i="3"/>
  <c r="J876" i="3"/>
  <c r="N876" i="3"/>
  <c r="L729" i="3"/>
  <c r="J729" i="3"/>
  <c r="H729" i="3"/>
  <c r="H465" i="3"/>
  <c r="J465" i="3"/>
  <c r="N465" i="3"/>
  <c r="N536" i="3"/>
  <c r="J536" i="3"/>
  <c r="H536" i="3"/>
  <c r="L536" i="3"/>
  <c r="L399" i="3"/>
  <c r="H399" i="3"/>
  <c r="J399" i="3"/>
  <c r="N399" i="3"/>
  <c r="L519" i="3"/>
  <c r="N519" i="3"/>
  <c r="L408" i="3"/>
  <c r="H408" i="3"/>
  <c r="N408" i="3"/>
  <c r="L169" i="3"/>
  <c r="J169" i="3"/>
  <c r="N169" i="3"/>
  <c r="N46" i="3"/>
  <c r="J46" i="3"/>
  <c r="L46" i="3"/>
  <c r="H580" i="3"/>
  <c r="L580" i="3"/>
  <c r="N580" i="3"/>
  <c r="J580" i="3"/>
  <c r="H412" i="3"/>
  <c r="J412" i="3"/>
  <c r="L412" i="3"/>
  <c r="N247" i="3"/>
  <c r="L247" i="3"/>
  <c r="N110" i="3"/>
  <c r="H110" i="3"/>
  <c r="J110" i="3"/>
  <c r="N368" i="3"/>
  <c r="J368" i="3"/>
  <c r="L368" i="3"/>
  <c r="N211" i="3"/>
  <c r="L211" i="3"/>
  <c r="H211" i="3"/>
  <c r="J211" i="3"/>
  <c r="J408" i="3"/>
  <c r="N662" i="3"/>
  <c r="N823" i="3"/>
  <c r="H823" i="3"/>
  <c r="L823" i="3"/>
  <c r="J823" i="3"/>
  <c r="N751" i="3"/>
  <c r="J751" i="3"/>
  <c r="L723" i="3"/>
  <c r="J723" i="3"/>
  <c r="N723" i="3"/>
  <c r="H769" i="3"/>
  <c r="L769" i="3"/>
  <c r="N769" i="3"/>
  <c r="J769" i="3"/>
  <c r="J718" i="3"/>
  <c r="N718" i="3"/>
  <c r="L718" i="3"/>
  <c r="H718" i="3"/>
  <c r="L736" i="3"/>
  <c r="N736" i="3"/>
  <c r="H736" i="3"/>
  <c r="J736" i="3"/>
  <c r="L681" i="3"/>
  <c r="H681" i="3"/>
  <c r="J681" i="3"/>
  <c r="N681" i="3"/>
  <c r="J621" i="3"/>
  <c r="L621" i="3"/>
  <c r="H621" i="3"/>
  <c r="N621" i="3"/>
  <c r="N846" i="3"/>
  <c r="H846" i="3"/>
  <c r="J846" i="3"/>
  <c r="L846" i="3"/>
  <c r="L684" i="3"/>
  <c r="N684" i="3"/>
  <c r="N531" i="3"/>
  <c r="L531" i="3"/>
  <c r="H531" i="3"/>
  <c r="J531" i="3"/>
  <c r="N514" i="3"/>
  <c r="L514" i="3"/>
  <c r="J411" i="3"/>
  <c r="H411" i="3"/>
  <c r="L411" i="3"/>
  <c r="N411" i="3"/>
  <c r="H155" i="3"/>
  <c r="N155" i="3"/>
  <c r="J473" i="3"/>
  <c r="H473" i="3"/>
  <c r="L473" i="3"/>
  <c r="N473" i="3"/>
  <c r="J313" i="3"/>
  <c r="L313" i="3"/>
  <c r="H313" i="3"/>
  <c r="N313" i="3"/>
  <c r="H328" i="3"/>
  <c r="J328" i="3"/>
  <c r="L599" i="3"/>
  <c r="J599" i="3"/>
  <c r="N599" i="3"/>
  <c r="H599" i="3"/>
  <c r="L585" i="3"/>
  <c r="H585" i="3"/>
  <c r="N585" i="3"/>
  <c r="J585" i="3"/>
  <c r="N414" i="3"/>
  <c r="H414" i="3"/>
  <c r="N403" i="3"/>
  <c r="J403" i="3"/>
  <c r="L403" i="3"/>
  <c r="L244" i="3"/>
  <c r="N244" i="3"/>
  <c r="H244" i="3"/>
  <c r="H73" i="3"/>
  <c r="J73" i="3"/>
  <c r="J270" i="3"/>
  <c r="H270" i="3"/>
  <c r="L270" i="3"/>
  <c r="N270" i="3"/>
  <c r="J165" i="3"/>
  <c r="N165" i="3"/>
  <c r="H165" i="3"/>
  <c r="L165" i="3"/>
  <c r="J145" i="3"/>
  <c r="L145" i="3"/>
  <c r="H145" i="3"/>
  <c r="N145" i="3"/>
  <c r="H240" i="3"/>
  <c r="J240" i="3"/>
  <c r="L240" i="3"/>
  <c r="H9" i="3"/>
  <c r="J9" i="3"/>
  <c r="N9" i="3"/>
  <c r="L58" i="3"/>
  <c r="H58" i="3"/>
  <c r="J58" i="3"/>
  <c r="J882" i="3"/>
  <c r="L882" i="3"/>
  <c r="H882" i="3"/>
  <c r="N882" i="3"/>
  <c r="N870" i="3"/>
  <c r="L870" i="3"/>
  <c r="H870" i="3"/>
  <c r="J870" i="3"/>
  <c r="J423" i="3"/>
  <c r="J418" i="3"/>
  <c r="J591" i="3"/>
  <c r="H25" i="3"/>
  <c r="H212" i="3"/>
  <c r="H289" i="3"/>
  <c r="L267" i="3"/>
  <c r="L414" i="3"/>
  <c r="J345" i="3"/>
  <c r="N784" i="3"/>
  <c r="L155" i="3"/>
  <c r="N389" i="3"/>
  <c r="L380" i="3"/>
  <c r="H368" i="3"/>
  <c r="L402" i="3"/>
  <c r="J506" i="3"/>
  <c r="N316" i="3"/>
  <c r="J514" i="3"/>
  <c r="J489" i="3"/>
  <c r="N212" i="3"/>
  <c r="J414" i="3"/>
  <c r="J537" i="3"/>
  <c r="N576" i="3"/>
  <c r="J810" i="3"/>
  <c r="J784" i="3"/>
  <c r="J155" i="3"/>
  <c r="H380" i="3"/>
  <c r="L405" i="3"/>
  <c r="N328" i="3"/>
  <c r="L900" i="3"/>
  <c r="N900" i="3"/>
  <c r="H900" i="3"/>
  <c r="J900" i="3"/>
  <c r="N688" i="3"/>
  <c r="J688" i="3"/>
  <c r="L863" i="3"/>
  <c r="J863" i="3"/>
  <c r="H863" i="3"/>
  <c r="N863" i="3"/>
  <c r="N742" i="3"/>
  <c r="L742" i="3"/>
  <c r="H742" i="3"/>
  <c r="J742" i="3"/>
  <c r="N529" i="3"/>
  <c r="L529" i="3"/>
  <c r="J529" i="3"/>
  <c r="H529" i="3"/>
  <c r="L616" i="3"/>
  <c r="H616" i="3"/>
  <c r="J616" i="3"/>
  <c r="N616" i="3"/>
  <c r="L821" i="3"/>
  <c r="H821" i="3"/>
  <c r="J821" i="3"/>
  <c r="N821" i="3"/>
  <c r="H694" i="3"/>
  <c r="L694" i="3"/>
  <c r="J694" i="3"/>
  <c r="J548" i="3"/>
  <c r="L548" i="3"/>
  <c r="N548" i="3"/>
  <c r="L577" i="3"/>
  <c r="H577" i="3"/>
  <c r="J577" i="3"/>
  <c r="N577" i="3"/>
  <c r="H400" i="3"/>
  <c r="J400" i="3"/>
  <c r="N400" i="3"/>
  <c r="L587" i="3"/>
  <c r="J587" i="3"/>
  <c r="H587" i="3"/>
  <c r="N587" i="3"/>
  <c r="N442" i="3"/>
  <c r="L442" i="3"/>
  <c r="H442" i="3"/>
  <c r="J442" i="3"/>
  <c r="L42" i="3"/>
  <c r="H42" i="3"/>
  <c r="N42" i="3"/>
  <c r="L603" i="3"/>
  <c r="H603" i="3"/>
  <c r="J603" i="3"/>
  <c r="L336" i="3"/>
  <c r="H336" i="3"/>
  <c r="J336" i="3"/>
  <c r="H402" i="3"/>
  <c r="J402" i="3"/>
  <c r="H287" i="3"/>
  <c r="J287" i="3"/>
  <c r="L287" i="3"/>
  <c r="N5" i="3"/>
  <c r="L5" i="3"/>
  <c r="H276" i="3"/>
  <c r="J276" i="3"/>
  <c r="N276" i="3"/>
  <c r="L276" i="3"/>
  <c r="H137" i="3"/>
  <c r="N137" i="3"/>
  <c r="L137" i="3"/>
  <c r="H231" i="3"/>
  <c r="L231" i="3"/>
  <c r="N231" i="3"/>
  <c r="N203" i="3"/>
  <c r="J203" i="3"/>
  <c r="L203" i="3"/>
  <c r="H61" i="3"/>
  <c r="J61" i="3"/>
  <c r="L61" i="3"/>
  <c r="H771" i="3"/>
  <c r="L771" i="3"/>
  <c r="J771" i="3"/>
  <c r="N771" i="3"/>
  <c r="L688" i="3"/>
  <c r="N885" i="3"/>
  <c r="L885" i="3"/>
  <c r="H885" i="3"/>
  <c r="J885" i="3"/>
  <c r="H892" i="3"/>
  <c r="J892" i="3"/>
  <c r="L892" i="3"/>
  <c r="L625" i="3"/>
  <c r="J625" i="3"/>
  <c r="N625" i="3"/>
  <c r="H625" i="3"/>
  <c r="J859" i="3"/>
  <c r="N859" i="3"/>
  <c r="J719" i="3"/>
  <c r="L719" i="3"/>
  <c r="N719" i="3"/>
  <c r="H719" i="3"/>
  <c r="N562" i="3"/>
  <c r="L562" i="3"/>
  <c r="H562" i="3"/>
  <c r="J562" i="3"/>
  <c r="H638" i="3"/>
  <c r="J638" i="3"/>
  <c r="L638" i="3"/>
  <c r="N638" i="3"/>
  <c r="J908" i="3"/>
  <c r="H908" i="3"/>
  <c r="L908" i="3"/>
  <c r="L646" i="3"/>
  <c r="H646" i="3"/>
  <c r="J646" i="3"/>
  <c r="N646" i="3"/>
  <c r="J481" i="3"/>
  <c r="L481" i="3"/>
  <c r="N481" i="3"/>
  <c r="H481" i="3"/>
  <c r="J520" i="3"/>
  <c r="L520" i="3"/>
  <c r="N323" i="3"/>
  <c r="H323" i="3"/>
  <c r="L323" i="3"/>
  <c r="J323" i="3"/>
  <c r="H38" i="3"/>
  <c r="J38" i="3"/>
  <c r="L38" i="3"/>
  <c r="N38" i="3"/>
  <c r="L423" i="3"/>
  <c r="N423" i="3"/>
  <c r="J88" i="3"/>
  <c r="N88" i="3"/>
  <c r="H88" i="3"/>
  <c r="L88" i="3"/>
  <c r="L122" i="3"/>
  <c r="J122" i="3"/>
  <c r="H584" i="3"/>
  <c r="N584" i="3"/>
  <c r="L584" i="3"/>
  <c r="J584" i="3"/>
  <c r="N156" i="3"/>
  <c r="J156" i="3"/>
  <c r="L156" i="3"/>
  <c r="H156" i="3"/>
  <c r="L278" i="3"/>
  <c r="H278" i="3"/>
  <c r="J278" i="3"/>
  <c r="N278" i="3"/>
  <c r="L152" i="3"/>
  <c r="H152" i="3"/>
  <c r="J152" i="3"/>
  <c r="N152" i="3"/>
  <c r="L12" i="3"/>
  <c r="H12" i="3"/>
  <c r="J12" i="3"/>
  <c r="N12" i="3"/>
  <c r="L299" i="3"/>
  <c r="N299" i="3"/>
  <c r="H299" i="3"/>
  <c r="L400" i="3"/>
  <c r="H203" i="3"/>
  <c r="H688" i="3"/>
  <c r="J299" i="3"/>
  <c r="H506" i="3"/>
  <c r="J834" i="3"/>
  <c r="L834" i="3"/>
  <c r="N834" i="3"/>
  <c r="H834" i="3"/>
  <c r="L777" i="3"/>
  <c r="J777" i="3"/>
  <c r="N623" i="3"/>
  <c r="J623" i="3"/>
  <c r="L856" i="3"/>
  <c r="H856" i="3"/>
  <c r="N856" i="3"/>
  <c r="J856" i="3"/>
  <c r="L721" i="3"/>
  <c r="J721" i="3"/>
  <c r="H721" i="3"/>
  <c r="N721" i="3"/>
  <c r="J386" i="3"/>
  <c r="L386" i="3"/>
  <c r="N624" i="3"/>
  <c r="H624" i="3"/>
  <c r="J624" i="3"/>
  <c r="J476" i="3"/>
  <c r="H476" i="3"/>
  <c r="L476" i="3"/>
  <c r="N476" i="3"/>
  <c r="L852" i="3"/>
  <c r="J852" i="3"/>
  <c r="N852" i="3"/>
  <c r="L691" i="3"/>
  <c r="H691" i="3"/>
  <c r="J691" i="3"/>
  <c r="N691" i="3"/>
  <c r="N472" i="3"/>
  <c r="H472" i="3"/>
  <c r="J472" i="3"/>
  <c r="L472" i="3"/>
  <c r="L309" i="3"/>
  <c r="N309" i="3"/>
  <c r="J309" i="3"/>
  <c r="N95" i="3"/>
  <c r="H95" i="3"/>
  <c r="L547" i="3"/>
  <c r="J547" i="3"/>
  <c r="H547" i="3"/>
  <c r="N547" i="3"/>
  <c r="L296" i="3"/>
  <c r="N296" i="3"/>
  <c r="H296" i="3"/>
  <c r="N568" i="3"/>
  <c r="J568" i="3"/>
  <c r="L568" i="3"/>
  <c r="H312" i="3"/>
  <c r="N312" i="3"/>
  <c r="J312" i="3"/>
  <c r="L312" i="3"/>
  <c r="N87" i="3"/>
  <c r="L87" i="3"/>
  <c r="J87" i="3"/>
  <c r="H168" i="3"/>
  <c r="N168" i="3"/>
  <c r="J168" i="3"/>
  <c r="L168" i="3"/>
  <c r="N99" i="3"/>
  <c r="L99" i="3"/>
  <c r="J99" i="3"/>
  <c r="H99" i="3"/>
  <c r="L183" i="3"/>
  <c r="N183" i="3"/>
  <c r="H183" i="3"/>
  <c r="J183" i="3"/>
  <c r="H138" i="3"/>
  <c r="J138" i="3"/>
  <c r="N138" i="3"/>
  <c r="N355" i="3"/>
  <c r="H355" i="3"/>
  <c r="J355" i="3"/>
  <c r="L355" i="3"/>
  <c r="L773" i="3"/>
  <c r="H773" i="3"/>
  <c r="N773" i="3"/>
  <c r="J773" i="3"/>
  <c r="H537" i="3"/>
  <c r="N603" i="3"/>
  <c r="H777" i="3"/>
  <c r="H784" i="3"/>
  <c r="J731" i="3"/>
  <c r="N287" i="3"/>
  <c r="L328" i="3"/>
  <c r="N520" i="3"/>
  <c r="H865" i="3"/>
  <c r="J865" i="3"/>
  <c r="N865" i="3"/>
  <c r="L865" i="3"/>
  <c r="L639" i="3"/>
  <c r="J639" i="3"/>
  <c r="H639" i="3"/>
  <c r="N639" i="3"/>
  <c r="L563" i="3"/>
  <c r="N563" i="3"/>
  <c r="J563" i="3"/>
  <c r="L850" i="3"/>
  <c r="J850" i="3"/>
  <c r="N850" i="3"/>
  <c r="H850" i="3"/>
  <c r="N668" i="3"/>
  <c r="L668" i="3"/>
  <c r="J668" i="3"/>
  <c r="H668" i="3"/>
  <c r="L397" i="3"/>
  <c r="J397" i="3"/>
  <c r="H397" i="3"/>
  <c r="L734" i="3"/>
  <c r="J734" i="3"/>
  <c r="H734" i="3"/>
  <c r="N734" i="3"/>
  <c r="N376" i="3"/>
  <c r="H376" i="3"/>
  <c r="J376" i="3"/>
  <c r="L376" i="3"/>
  <c r="N644" i="3"/>
  <c r="L644" i="3"/>
  <c r="H644" i="3"/>
  <c r="N524" i="3"/>
  <c r="H524" i="3"/>
  <c r="J524" i="3"/>
  <c r="L524" i="3"/>
  <c r="L591" i="3"/>
  <c r="N591" i="3"/>
  <c r="H321" i="3"/>
  <c r="L321" i="3"/>
  <c r="J321" i="3"/>
  <c r="J129" i="3"/>
  <c r="H129" i="3"/>
  <c r="L129" i="3"/>
  <c r="N129" i="3"/>
  <c r="N500" i="3"/>
  <c r="H500" i="3"/>
  <c r="L500" i="3"/>
  <c r="J500" i="3"/>
  <c r="N363" i="3"/>
  <c r="J363" i="3"/>
  <c r="L363" i="3"/>
  <c r="H363" i="3"/>
  <c r="N196" i="3"/>
  <c r="J196" i="3"/>
  <c r="H578" i="3"/>
  <c r="N578" i="3"/>
  <c r="J578" i="3"/>
  <c r="L578" i="3"/>
  <c r="N344" i="3"/>
  <c r="H344" i="3"/>
  <c r="J344" i="3"/>
  <c r="L344" i="3"/>
  <c r="N41" i="3"/>
  <c r="J41" i="3"/>
  <c r="N171" i="3"/>
  <c r="L171" i="3"/>
  <c r="J171" i="3"/>
  <c r="H171" i="3"/>
  <c r="N53" i="3"/>
  <c r="H53" i="3"/>
  <c r="L53" i="3"/>
  <c r="J53" i="3"/>
  <c r="N187" i="3"/>
  <c r="L187" i="3"/>
  <c r="H187" i="3"/>
  <c r="J187" i="3"/>
  <c r="J45" i="3"/>
  <c r="H45" i="3"/>
  <c r="N45" i="3"/>
  <c r="L84" i="3"/>
  <c r="H84" i="3"/>
  <c r="J84" i="3"/>
  <c r="N84" i="3"/>
  <c r="N294" i="3"/>
  <c r="J294" i="3"/>
  <c r="L294" i="3"/>
  <c r="H149" i="3"/>
  <c r="J149" i="3"/>
  <c r="N149" i="3"/>
  <c r="L149" i="3"/>
  <c r="L788" i="3"/>
  <c r="J788" i="3"/>
  <c r="H788" i="3"/>
  <c r="N788" i="3"/>
  <c r="J644" i="3"/>
  <c r="H828" i="3"/>
  <c r="J828" i="3"/>
  <c r="N828" i="3"/>
  <c r="L828" i="3"/>
  <c r="N789" i="3"/>
  <c r="L789" i="3"/>
  <c r="H789" i="3"/>
  <c r="J789" i="3"/>
  <c r="L641" i="3"/>
  <c r="J641" i="3"/>
  <c r="H641" i="3"/>
  <c r="N641" i="3"/>
  <c r="L607" i="3"/>
  <c r="H607" i="3"/>
  <c r="J607" i="3"/>
  <c r="N607" i="3"/>
  <c r="L682" i="3"/>
  <c r="H682" i="3"/>
  <c r="N682" i="3"/>
  <c r="J652" i="3"/>
  <c r="H652" i="3"/>
  <c r="N652" i="3"/>
  <c r="L652" i="3"/>
  <c r="L619" i="3"/>
  <c r="N619" i="3"/>
  <c r="H619" i="3"/>
  <c r="J619" i="3"/>
  <c r="N762" i="3"/>
  <c r="J762" i="3"/>
  <c r="H762" i="3"/>
  <c r="N851" i="3"/>
  <c r="J851" i="3"/>
  <c r="L851" i="3"/>
  <c r="H851" i="3"/>
  <c r="H763" i="3"/>
  <c r="J763" i="3"/>
  <c r="L763" i="3"/>
  <c r="N763" i="3"/>
  <c r="L424" i="3"/>
  <c r="N424" i="3"/>
  <c r="J424" i="3"/>
  <c r="H424" i="3"/>
  <c r="L460" i="3"/>
  <c r="N460" i="3"/>
  <c r="J460" i="3"/>
  <c r="H460" i="3"/>
  <c r="L199" i="3"/>
  <c r="H199" i="3"/>
  <c r="N199" i="3"/>
  <c r="J199" i="3"/>
  <c r="L507" i="3"/>
  <c r="J507" i="3"/>
  <c r="N507" i="3"/>
  <c r="H507" i="3"/>
  <c r="L314" i="3"/>
  <c r="H314" i="3"/>
  <c r="H362" i="3"/>
  <c r="J362" i="3"/>
  <c r="N362" i="3"/>
  <c r="L362" i="3"/>
  <c r="H569" i="3"/>
  <c r="L569" i="3"/>
  <c r="J569" i="3"/>
  <c r="N569" i="3"/>
  <c r="L333" i="3"/>
  <c r="J333" i="3"/>
  <c r="H333" i="3"/>
  <c r="L206" i="3"/>
  <c r="J206" i="3"/>
  <c r="H206" i="3"/>
  <c r="N100" i="3"/>
  <c r="L100" i="3"/>
  <c r="J100" i="3"/>
  <c r="H253" i="3"/>
  <c r="N253" i="3"/>
  <c r="L253" i="3"/>
  <c r="J253" i="3"/>
  <c r="L44" i="3"/>
  <c r="J44" i="3"/>
  <c r="H44" i="3"/>
  <c r="N810" i="3"/>
  <c r="L289" i="3"/>
  <c r="H46" i="3"/>
  <c r="N918" i="3"/>
  <c r="N397" i="3"/>
  <c r="J325" i="3"/>
  <c r="L791" i="3"/>
  <c r="J791" i="3"/>
  <c r="H499" i="3"/>
  <c r="L499" i="3"/>
  <c r="N499" i="3"/>
  <c r="L804" i="3"/>
  <c r="N804" i="3"/>
  <c r="H804" i="3"/>
  <c r="J804" i="3"/>
  <c r="H695" i="3"/>
  <c r="N695" i="3"/>
  <c r="J695" i="3"/>
  <c r="L695" i="3"/>
  <c r="L913" i="3"/>
  <c r="H913" i="3"/>
  <c r="J913" i="3"/>
  <c r="N698" i="3"/>
  <c r="J698" i="3"/>
  <c r="H698" i="3"/>
  <c r="L698" i="3"/>
  <c r="H812" i="3"/>
  <c r="J812" i="3"/>
  <c r="N812" i="3"/>
  <c r="L812" i="3"/>
  <c r="L648" i="3"/>
  <c r="J648" i="3"/>
  <c r="H648" i="3"/>
  <c r="N648" i="3"/>
  <c r="J454" i="3"/>
  <c r="N454" i="3"/>
  <c r="L454" i="3"/>
  <c r="L498" i="3"/>
  <c r="J498" i="3"/>
  <c r="N498" i="3"/>
  <c r="J435" i="3"/>
  <c r="N435" i="3"/>
  <c r="H435" i="3"/>
  <c r="L612" i="3"/>
  <c r="J612" i="3"/>
  <c r="H612" i="3"/>
  <c r="N612" i="3"/>
  <c r="J405" i="3"/>
  <c r="N405" i="3"/>
  <c r="N28" i="3"/>
  <c r="J28" i="3"/>
  <c r="L28" i="3"/>
  <c r="H40" i="3"/>
  <c r="L40" i="3"/>
  <c r="J40" i="3"/>
  <c r="N40" i="3"/>
  <c r="L576" i="3"/>
  <c r="H576" i="3"/>
  <c r="N409" i="3"/>
  <c r="L409" i="3"/>
  <c r="H409" i="3"/>
  <c r="H268" i="3"/>
  <c r="J268" i="3"/>
  <c r="N268" i="3"/>
  <c r="L268" i="3"/>
  <c r="J116" i="3"/>
  <c r="N116" i="3"/>
  <c r="H116" i="3"/>
  <c r="L116" i="3"/>
  <c r="H121" i="3"/>
  <c r="J121" i="3"/>
  <c r="N121" i="3"/>
  <c r="L121" i="3"/>
  <c r="N224" i="3"/>
  <c r="H224" i="3"/>
  <c r="L224" i="3"/>
  <c r="N113" i="3"/>
  <c r="J113" i="3"/>
  <c r="H113" i="3"/>
  <c r="L113" i="3"/>
  <c r="L47" i="3"/>
  <c r="J47" i="3"/>
  <c r="H47" i="3"/>
  <c r="H185" i="3"/>
  <c r="L185" i="3"/>
  <c r="N185" i="3"/>
  <c r="J185" i="3"/>
  <c r="N125" i="3"/>
  <c r="L125" i="3"/>
  <c r="H169" i="3"/>
  <c r="L751" i="3"/>
  <c r="N913" i="3"/>
  <c r="J247" i="3"/>
  <c r="H489" i="3"/>
  <c r="H859" i="3"/>
  <c r="N58" i="3"/>
  <c r="L489" i="3"/>
  <c r="H247" i="3"/>
  <c r="J316" i="3"/>
  <c r="N488" i="3"/>
  <c r="J887" i="3"/>
  <c r="L623" i="3"/>
  <c r="J125" i="3"/>
  <c r="J705" i="3"/>
  <c r="J722" i="3"/>
  <c r="H751" i="3"/>
  <c r="N824" i="3"/>
  <c r="H196" i="3"/>
  <c r="N729" i="3"/>
  <c r="H520" i="3"/>
  <c r="L917" i="3"/>
  <c r="N917" i="3"/>
  <c r="H917" i="3"/>
  <c r="J917" i="3"/>
  <c r="N893" i="3"/>
  <c r="L893" i="3"/>
  <c r="J893" i="3"/>
  <c r="H893" i="3"/>
  <c r="L783" i="3"/>
  <c r="H783" i="3"/>
  <c r="J783" i="3"/>
  <c r="L637" i="3"/>
  <c r="H637" i="3"/>
  <c r="J637" i="3"/>
  <c r="N448" i="3"/>
  <c r="L448" i="3"/>
  <c r="H448" i="3"/>
  <c r="J448" i="3"/>
  <c r="H645" i="3"/>
  <c r="J645" i="3"/>
  <c r="N645" i="3"/>
  <c r="H733" i="3"/>
  <c r="N733" i="3"/>
  <c r="J733" i="3"/>
  <c r="L608" i="3"/>
  <c r="H608" i="3"/>
  <c r="J608" i="3"/>
  <c r="N608" i="3"/>
  <c r="L677" i="3"/>
  <c r="N677" i="3"/>
  <c r="H677" i="3"/>
  <c r="J677" i="3"/>
  <c r="J492" i="3"/>
  <c r="H492" i="3"/>
  <c r="N492" i="3"/>
  <c r="L848" i="3"/>
  <c r="J848" i="3"/>
  <c r="H848" i="3"/>
  <c r="N848" i="3"/>
  <c r="L686" i="3"/>
  <c r="N686" i="3"/>
  <c r="J686" i="3"/>
  <c r="H686" i="3"/>
  <c r="H738" i="3"/>
  <c r="J738" i="3"/>
  <c r="L738" i="3"/>
  <c r="N738" i="3"/>
  <c r="N589" i="3"/>
  <c r="H589" i="3"/>
  <c r="L589" i="3"/>
  <c r="L418" i="3"/>
  <c r="N418" i="3"/>
  <c r="J389" i="3"/>
  <c r="H389" i="3"/>
  <c r="J515" i="3"/>
  <c r="H515" i="3"/>
  <c r="N515" i="3"/>
  <c r="L515" i="3"/>
  <c r="H459" i="3"/>
  <c r="J459" i="3"/>
  <c r="L459" i="3"/>
  <c r="N459" i="3"/>
  <c r="L217" i="3"/>
  <c r="H217" i="3"/>
  <c r="L238" i="3"/>
  <c r="N238" i="3"/>
  <c r="H238" i="3"/>
  <c r="J238" i="3"/>
  <c r="J550" i="3"/>
  <c r="L550" i="3"/>
  <c r="N550" i="3"/>
  <c r="H385" i="3"/>
  <c r="J385" i="3"/>
  <c r="L385" i="3"/>
  <c r="H219" i="3"/>
  <c r="J219" i="3"/>
  <c r="L219" i="3"/>
  <c r="N317" i="3"/>
  <c r="J317" i="3"/>
  <c r="L317" i="3"/>
  <c r="J283" i="3"/>
  <c r="N283" i="3"/>
  <c r="L283" i="3"/>
  <c r="H283" i="3"/>
  <c r="H106" i="3"/>
  <c r="L106" i="3"/>
  <c r="J106" i="3"/>
  <c r="N106" i="3"/>
  <c r="L331" i="3"/>
  <c r="H331" i="3"/>
  <c r="J331" i="3"/>
  <c r="N331" i="3"/>
  <c r="L173" i="3"/>
  <c r="N173" i="3"/>
  <c r="H173" i="3"/>
  <c r="J173" i="3"/>
  <c r="H108" i="3"/>
  <c r="N108" i="3"/>
  <c r="L108" i="3"/>
  <c r="J108" i="3"/>
  <c r="L391" i="3"/>
  <c r="N391" i="3"/>
  <c r="H391" i="3"/>
  <c r="J262" i="3"/>
  <c r="L262" i="3"/>
  <c r="H262" i="3"/>
  <c r="N262" i="3"/>
  <c r="L126" i="3"/>
  <c r="H126" i="3"/>
  <c r="L884" i="3"/>
  <c r="N884" i="3"/>
  <c r="J884" i="3"/>
  <c r="H884" i="3"/>
  <c r="L868" i="3"/>
  <c r="H868" i="3"/>
  <c r="N868" i="3"/>
  <c r="J868" i="3"/>
  <c r="H806" i="3"/>
  <c r="J806" i="3"/>
  <c r="L806" i="3"/>
  <c r="N806" i="3"/>
  <c r="L703" i="3"/>
  <c r="H703" i="3"/>
  <c r="N703" i="3"/>
  <c r="J703" i="3"/>
  <c r="J600" i="3"/>
  <c r="H600" i="3"/>
  <c r="N600" i="3"/>
  <c r="L600" i="3"/>
  <c r="L659" i="3"/>
  <c r="J659" i="3"/>
  <c r="H659" i="3"/>
  <c r="L474" i="3"/>
  <c r="H474" i="3"/>
  <c r="N474" i="3"/>
  <c r="L739" i="3"/>
  <c r="H739" i="3"/>
  <c r="J739" i="3"/>
  <c r="N526" i="3"/>
  <c r="L526" i="3"/>
  <c r="H526" i="3"/>
  <c r="J526" i="3"/>
  <c r="N857" i="3"/>
  <c r="H857" i="3"/>
  <c r="L857" i="3"/>
  <c r="J857" i="3"/>
  <c r="H620" i="3"/>
  <c r="N620" i="3"/>
  <c r="N699" i="3"/>
  <c r="J699" i="3"/>
  <c r="H699" i="3"/>
  <c r="L479" i="3"/>
  <c r="H479" i="3"/>
  <c r="N479" i="3"/>
  <c r="J479" i="3"/>
  <c r="N382" i="3"/>
  <c r="L382" i="3"/>
  <c r="J274" i="3"/>
  <c r="H274" i="3"/>
  <c r="L274" i="3"/>
  <c r="N274" i="3"/>
  <c r="J532" i="3"/>
  <c r="L532" i="3"/>
  <c r="H532" i="3"/>
  <c r="N532" i="3"/>
  <c r="L534" i="3"/>
  <c r="H534" i="3"/>
  <c r="N534" i="3"/>
  <c r="L451" i="3"/>
  <c r="J451" i="3"/>
  <c r="N451" i="3"/>
  <c r="H451" i="3"/>
  <c r="L195" i="3"/>
  <c r="N195" i="3"/>
  <c r="J195" i="3"/>
  <c r="H195" i="3"/>
  <c r="J613" i="3"/>
  <c r="H613" i="3"/>
  <c r="L613" i="3"/>
  <c r="N613" i="3"/>
  <c r="L387" i="3"/>
  <c r="N387" i="3"/>
  <c r="H387" i="3"/>
  <c r="J387" i="3"/>
  <c r="H343" i="3"/>
  <c r="N343" i="3"/>
  <c r="J343" i="3"/>
  <c r="L343" i="3"/>
  <c r="L233" i="3"/>
  <c r="J233" i="3"/>
  <c r="N233" i="3"/>
  <c r="H284" i="3"/>
  <c r="J284" i="3"/>
  <c r="L284" i="3"/>
  <c r="J21" i="3"/>
  <c r="H21" i="3"/>
  <c r="L306" i="3"/>
  <c r="J306" i="3"/>
  <c r="H306" i="3"/>
  <c r="H237" i="3"/>
  <c r="N237" i="3"/>
  <c r="N637" i="3"/>
  <c r="L859" i="3"/>
  <c r="N438" i="3"/>
  <c r="J231" i="3"/>
  <c r="H876" i="3"/>
  <c r="L237" i="3"/>
  <c r="H317" i="3"/>
  <c r="H905" i="3"/>
  <c r="L905" i="3"/>
  <c r="J905" i="3"/>
  <c r="N905" i="3"/>
  <c r="H807" i="3"/>
  <c r="J807" i="3"/>
  <c r="L807" i="3"/>
  <c r="N807" i="3"/>
  <c r="H660" i="3"/>
  <c r="L660" i="3"/>
  <c r="N660" i="3"/>
  <c r="J660" i="3"/>
  <c r="L598" i="3"/>
  <c r="J598" i="3"/>
  <c r="H598" i="3"/>
  <c r="N598" i="3"/>
  <c r="L767" i="3"/>
  <c r="H767" i="3"/>
  <c r="J767" i="3"/>
  <c r="N767" i="3"/>
  <c r="N765" i="3"/>
  <c r="L765" i="3"/>
  <c r="J765" i="3"/>
  <c r="H765" i="3"/>
  <c r="L596" i="3"/>
  <c r="H596" i="3"/>
  <c r="J720" i="3"/>
  <c r="H720" i="3"/>
  <c r="L720" i="3"/>
  <c r="N720" i="3"/>
  <c r="J493" i="3"/>
  <c r="H493" i="3"/>
  <c r="N493" i="3"/>
  <c r="L493" i="3"/>
  <c r="H875" i="3"/>
  <c r="L875" i="3"/>
  <c r="N875" i="3"/>
  <c r="J875" i="3"/>
  <c r="H643" i="3"/>
  <c r="L643" i="3"/>
  <c r="J643" i="3"/>
  <c r="N643" i="3"/>
  <c r="L700" i="3"/>
  <c r="J700" i="3"/>
  <c r="H700" i="3"/>
  <c r="N700" i="3"/>
  <c r="J229" i="3"/>
  <c r="H229" i="3"/>
  <c r="L229" i="3"/>
  <c r="L530" i="3"/>
  <c r="J530" i="3"/>
  <c r="H530" i="3"/>
  <c r="N530" i="3"/>
  <c r="H384" i="3"/>
  <c r="N384" i="3"/>
  <c r="L384" i="3"/>
  <c r="N415" i="3"/>
  <c r="L415" i="3"/>
  <c r="J415" i="3"/>
  <c r="H415" i="3"/>
  <c r="L181" i="3"/>
  <c r="J181" i="3"/>
  <c r="L539" i="3"/>
  <c r="J539" i="3"/>
  <c r="H539" i="3"/>
  <c r="N539" i="3"/>
  <c r="N184" i="3"/>
  <c r="H184" i="3"/>
  <c r="L184" i="3"/>
  <c r="J184" i="3"/>
  <c r="L158" i="3"/>
  <c r="H158" i="3"/>
  <c r="N158" i="3"/>
  <c r="N141" i="3"/>
  <c r="L141" i="3"/>
  <c r="J141" i="3"/>
  <c r="H141" i="3"/>
  <c r="H332" i="3"/>
  <c r="J332" i="3"/>
  <c r="N332" i="3"/>
  <c r="L332" i="3"/>
  <c r="L260" i="3"/>
  <c r="N260" i="3"/>
  <c r="H260" i="3"/>
  <c r="N103" i="3"/>
  <c r="L103" i="3"/>
  <c r="J103" i="3"/>
  <c r="H103" i="3"/>
  <c r="H267" i="3"/>
  <c r="J267" i="3"/>
  <c r="L82" i="3"/>
  <c r="J82" i="3"/>
  <c r="N82" i="3"/>
  <c r="H798" i="3"/>
  <c r="J798" i="3"/>
  <c r="N798" i="3"/>
  <c r="L798" i="3"/>
  <c r="H41" i="3"/>
  <c r="N217" i="3"/>
  <c r="H768" i="3"/>
  <c r="L316" i="3"/>
  <c r="H514" i="3"/>
  <c r="N887" i="3"/>
  <c r="N327" i="3"/>
  <c r="H810" i="3"/>
  <c r="H87" i="3"/>
  <c r="J217" i="3"/>
  <c r="J534" i="3"/>
  <c r="L30" i="3"/>
  <c r="H28" i="3"/>
  <c r="N221" i="3"/>
  <c r="J519" i="3"/>
  <c r="N21" i="3"/>
  <c r="H887" i="3"/>
  <c r="H125" i="3"/>
  <c r="H705" i="3"/>
  <c r="N722" i="3"/>
  <c r="H122" i="3"/>
  <c r="N386" i="3"/>
  <c r="N596" i="3"/>
  <c r="H684" i="3"/>
  <c r="H382" i="3"/>
  <c r="L465" i="3"/>
  <c r="J66" i="3"/>
  <c r="N66" i="3"/>
  <c r="H66" i="3"/>
  <c r="L66" i="3"/>
  <c r="L34" i="3"/>
  <c r="H34" i="3"/>
  <c r="N36" i="3"/>
  <c r="L36" i="3"/>
  <c r="J36" i="3"/>
  <c r="J319" i="3"/>
  <c r="L319" i="3"/>
  <c r="H319" i="3"/>
  <c r="N319" i="3"/>
  <c r="L301" i="3"/>
  <c r="H301" i="3"/>
  <c r="N301" i="3"/>
  <c r="J301" i="3"/>
  <c r="J281" i="3"/>
  <c r="H281" i="3"/>
  <c r="L281" i="3"/>
  <c r="N281" i="3"/>
  <c r="H258" i="3"/>
  <c r="J258" i="3"/>
  <c r="L258" i="3"/>
  <c r="N258" i="3"/>
  <c r="J191" i="3"/>
  <c r="H191" i="3"/>
  <c r="N191" i="3"/>
  <c r="J166" i="3"/>
  <c r="H166" i="3"/>
  <c r="N166" i="3"/>
  <c r="L166" i="3"/>
  <c r="H148" i="3"/>
  <c r="J148" i="3"/>
  <c r="L148" i="3"/>
  <c r="J123" i="3"/>
  <c r="N123" i="3"/>
  <c r="H123" i="3"/>
  <c r="J19" i="3"/>
  <c r="N19" i="3"/>
  <c r="L19" i="3"/>
  <c r="H23" i="3"/>
  <c r="J23" i="3"/>
  <c r="N23" i="3"/>
  <c r="L860" i="3"/>
  <c r="N860" i="3"/>
  <c r="N903" i="3"/>
  <c r="J903" i="3"/>
  <c r="L903" i="3"/>
  <c r="H903" i="3"/>
  <c r="L894" i="3"/>
  <c r="N894" i="3"/>
  <c r="L832" i="3"/>
  <c r="J832" i="3"/>
  <c r="L869" i="3"/>
  <c r="J869" i="3"/>
  <c r="H869" i="3"/>
  <c r="J839" i="3"/>
  <c r="L839" i="3"/>
  <c r="J785" i="3"/>
  <c r="N785" i="3"/>
  <c r="H842" i="3"/>
  <c r="J842" i="3"/>
  <c r="L842" i="3"/>
  <c r="N842" i="3"/>
  <c r="H753" i="3"/>
  <c r="J753" i="3"/>
  <c r="H647" i="3"/>
  <c r="L647" i="3"/>
  <c r="J647" i="3"/>
  <c r="L766" i="3"/>
  <c r="H766" i="3"/>
  <c r="J766" i="3"/>
  <c r="N766" i="3"/>
  <c r="L696" i="3"/>
  <c r="H696" i="3"/>
  <c r="N696" i="3"/>
  <c r="J696" i="3"/>
  <c r="J735" i="3"/>
  <c r="N735" i="3"/>
  <c r="L735" i="3"/>
  <c r="H735" i="3"/>
  <c r="L522" i="3"/>
  <c r="J522" i="3"/>
  <c r="N801" i="3"/>
  <c r="J801" i="3"/>
  <c r="N820" i="3"/>
  <c r="L820" i="3"/>
  <c r="L813" i="3"/>
  <c r="J813" i="3"/>
  <c r="N813" i="3"/>
  <c r="L774" i="3"/>
  <c r="H774" i="3"/>
  <c r="L756" i="3"/>
  <c r="J756" i="3"/>
  <c r="J685" i="3"/>
  <c r="N685" i="3"/>
  <c r="L655" i="3"/>
  <c r="J655" i="3"/>
  <c r="N496" i="3"/>
  <c r="H496" i="3"/>
  <c r="J496" i="3"/>
  <c r="J346" i="3"/>
  <c r="N346" i="3"/>
  <c r="N915" i="3"/>
  <c r="J915" i="3"/>
  <c r="H915" i="3"/>
  <c r="L915" i="3"/>
  <c r="L680" i="3"/>
  <c r="H680" i="3"/>
  <c r="J680" i="3"/>
  <c r="N680" i="3"/>
  <c r="H683" i="3"/>
  <c r="J683" i="3"/>
  <c r="L764" i="3"/>
  <c r="J764" i="3"/>
  <c r="H764" i="3"/>
  <c r="L661" i="3"/>
  <c r="N661" i="3"/>
  <c r="L702" i="3"/>
  <c r="N702" i="3"/>
  <c r="H702" i="3"/>
  <c r="N594" i="3"/>
  <c r="J594" i="3"/>
  <c r="H594" i="3"/>
  <c r="H457" i="3"/>
  <c r="J457" i="3"/>
  <c r="H838" i="3"/>
  <c r="N838" i="3"/>
  <c r="L838" i="3"/>
  <c r="L775" i="3"/>
  <c r="H775" i="3"/>
  <c r="N775" i="3"/>
  <c r="J775" i="3"/>
  <c r="N916" i="3"/>
  <c r="J916" i="3"/>
  <c r="L916" i="3"/>
  <c r="L855" i="3"/>
  <c r="H855" i="3"/>
  <c r="J855" i="3"/>
  <c r="N855" i="3"/>
  <c r="J676" i="3"/>
  <c r="L676" i="3"/>
  <c r="N670" i="3"/>
  <c r="H670" i="3"/>
  <c r="L672" i="3"/>
  <c r="J672" i="3"/>
  <c r="N672" i="3"/>
  <c r="H622" i="3"/>
  <c r="N622" i="3"/>
  <c r="J622" i="3"/>
  <c r="H630" i="3"/>
  <c r="J630" i="3"/>
  <c r="L630" i="3"/>
  <c r="H463" i="3"/>
  <c r="N463" i="3"/>
  <c r="L487" i="3"/>
  <c r="H487" i="3"/>
  <c r="N487" i="3"/>
  <c r="J521" i="3"/>
  <c r="N521" i="3"/>
  <c r="L521" i="3"/>
  <c r="H521" i="3"/>
  <c r="N509" i="3"/>
  <c r="J509" i="3"/>
  <c r="L509" i="3"/>
  <c r="H509" i="3"/>
  <c r="N570" i="3"/>
  <c r="L570" i="3"/>
  <c r="H570" i="3"/>
  <c r="J570" i="3"/>
  <c r="N352" i="3"/>
  <c r="L352" i="3"/>
  <c r="H352" i="3"/>
  <c r="J352" i="3"/>
  <c r="L443" i="3"/>
  <c r="N443" i="3"/>
  <c r="J413" i="3"/>
  <c r="L413" i="3"/>
  <c r="H434" i="3"/>
  <c r="J434" i="3"/>
  <c r="N434" i="3"/>
  <c r="L288" i="3"/>
  <c r="H288" i="3"/>
  <c r="J288" i="3"/>
  <c r="H115" i="3"/>
  <c r="J115" i="3"/>
  <c r="H120" i="3"/>
  <c r="N120" i="3"/>
  <c r="L120" i="3"/>
  <c r="N593" i="3"/>
  <c r="J593" i="3"/>
  <c r="N502" i="3"/>
  <c r="J502" i="3"/>
  <c r="N456" i="3"/>
  <c r="L456" i="3"/>
  <c r="J407" i="3"/>
  <c r="N407" i="3"/>
  <c r="L379" i="3"/>
  <c r="J379" i="3"/>
  <c r="H218" i="3"/>
  <c r="J218" i="3"/>
  <c r="J377" i="3"/>
  <c r="L377" i="3"/>
  <c r="H377" i="3"/>
  <c r="L170" i="3"/>
  <c r="J170" i="3"/>
  <c r="J466" i="3"/>
  <c r="H466" i="3"/>
  <c r="N466" i="3"/>
  <c r="J605" i="3"/>
  <c r="L605" i="3"/>
  <c r="H605" i="3"/>
  <c r="N605" i="3"/>
  <c r="L485" i="3"/>
  <c r="N485" i="3"/>
  <c r="H540" i="3"/>
  <c r="L540" i="3"/>
  <c r="N583" i="3"/>
  <c r="L583" i="3"/>
  <c r="J583" i="3"/>
  <c r="H453" i="3"/>
  <c r="N453" i="3"/>
  <c r="J453" i="3"/>
  <c r="L453" i="3"/>
  <c r="J370" i="3"/>
  <c r="N370" i="3"/>
  <c r="H370" i="3"/>
  <c r="L370" i="3"/>
  <c r="N337" i="3"/>
  <c r="L337" i="3"/>
  <c r="H337" i="3"/>
  <c r="J337" i="3"/>
  <c r="N107" i="3"/>
  <c r="H107" i="3"/>
  <c r="L107" i="3"/>
  <c r="L439" i="3"/>
  <c r="H439" i="3"/>
  <c r="N439" i="3"/>
  <c r="L290" i="3"/>
  <c r="H290" i="3"/>
  <c r="J290" i="3"/>
  <c r="L226" i="3"/>
  <c r="N226" i="3"/>
  <c r="N172" i="3"/>
  <c r="J172" i="3"/>
  <c r="L172" i="3"/>
  <c r="J140" i="3"/>
  <c r="L140" i="3"/>
  <c r="H427" i="3"/>
  <c r="J427" i="3"/>
  <c r="H302" i="3"/>
  <c r="J302" i="3"/>
  <c r="L302" i="3"/>
  <c r="H291" i="3"/>
  <c r="L291" i="3"/>
  <c r="N291" i="3"/>
  <c r="J291" i="3"/>
  <c r="H160" i="3"/>
  <c r="L160" i="3"/>
  <c r="N188" i="3"/>
  <c r="H188" i="3"/>
  <c r="N236" i="3"/>
  <c r="J236" i="3"/>
  <c r="L150" i="3"/>
  <c r="H150" i="3"/>
  <c r="N150" i="3"/>
  <c r="J150" i="3"/>
  <c r="J6" i="3"/>
  <c r="N6" i="3"/>
  <c r="L6" i="3"/>
  <c r="N68" i="3"/>
  <c r="H68" i="3"/>
  <c r="H62" i="3"/>
  <c r="N62" i="3"/>
  <c r="J62" i="3"/>
  <c r="L437" i="3"/>
  <c r="J437" i="3"/>
  <c r="H437" i="3"/>
  <c r="N17" i="3"/>
  <c r="H209" i="3"/>
  <c r="N379" i="3"/>
  <c r="L502" i="3"/>
  <c r="J862" i="3"/>
  <c r="L115" i="3"/>
  <c r="L49" i="3"/>
  <c r="L29" i="3"/>
  <c r="N290" i="3"/>
  <c r="H737" i="3"/>
  <c r="H655" i="3"/>
  <c r="H756" i="3"/>
  <c r="N170" i="3"/>
  <c r="N288" i="3"/>
  <c r="H236" i="3"/>
  <c r="J574" i="3"/>
  <c r="H676" i="3"/>
  <c r="H880" i="3"/>
  <c r="J487" i="3"/>
  <c r="L457" i="3"/>
  <c r="N437" i="3"/>
  <c r="N647" i="3"/>
  <c r="N377" i="3"/>
  <c r="N871" i="3"/>
  <c r="H871" i="3"/>
  <c r="J871" i="3"/>
  <c r="H909" i="3"/>
  <c r="J909" i="3"/>
  <c r="H867" i="3"/>
  <c r="J867" i="3"/>
  <c r="N867" i="3"/>
  <c r="H872" i="3"/>
  <c r="N872" i="3"/>
  <c r="L872" i="3"/>
  <c r="H779" i="3"/>
  <c r="L779" i="3"/>
  <c r="N779" i="3"/>
  <c r="N750" i="3"/>
  <c r="J750" i="3"/>
  <c r="L649" i="3"/>
  <c r="H649" i="3"/>
  <c r="J649" i="3"/>
  <c r="L665" i="3"/>
  <c r="H665" i="3"/>
  <c r="J665" i="3"/>
  <c r="J419" i="3"/>
  <c r="N419" i="3"/>
  <c r="L419" i="3"/>
  <c r="L827" i="3"/>
  <c r="N827" i="3"/>
  <c r="L633" i="3"/>
  <c r="N633" i="3"/>
  <c r="L657" i="3"/>
  <c r="N657" i="3"/>
  <c r="L782" i="3"/>
  <c r="H782" i="3"/>
  <c r="J782" i="3"/>
  <c r="J706" i="3"/>
  <c r="L706" i="3"/>
  <c r="H706" i="3"/>
  <c r="L658" i="3"/>
  <c r="H658" i="3"/>
  <c r="J658" i="3"/>
  <c r="H586" i="3"/>
  <c r="J586" i="3"/>
  <c r="N586" i="3"/>
  <c r="L586" i="3"/>
  <c r="L898" i="3"/>
  <c r="H898" i="3"/>
  <c r="L675" i="3"/>
  <c r="H675" i="3"/>
  <c r="J675" i="3"/>
  <c r="J674" i="3"/>
  <c r="L674" i="3"/>
  <c r="H564" i="3"/>
  <c r="J564" i="3"/>
  <c r="H449" i="3"/>
  <c r="J449" i="3"/>
  <c r="J567" i="3"/>
  <c r="N567" i="3"/>
  <c r="H567" i="3"/>
  <c r="L567" i="3"/>
  <c r="J543" i="3"/>
  <c r="L543" i="3"/>
  <c r="L406" i="3"/>
  <c r="N406" i="3"/>
  <c r="H406" i="3"/>
  <c r="J406" i="3"/>
  <c r="L218" i="3"/>
  <c r="J780" i="3"/>
  <c r="J827" i="3"/>
  <c r="N800" i="3"/>
  <c r="L909" i="3"/>
  <c r="J120" i="3"/>
  <c r="H67" i="3"/>
  <c r="N839" i="3"/>
  <c r="N832" i="3"/>
  <c r="L85" i="3"/>
  <c r="L427" i="3"/>
  <c r="H346" i="3"/>
  <c r="L670" i="3"/>
  <c r="H443" i="3"/>
  <c r="H85" i="3"/>
  <c r="L62" i="3"/>
  <c r="J371" i="3"/>
  <c r="N815" i="3"/>
  <c r="J815" i="3"/>
  <c r="L815" i="3"/>
  <c r="H815" i="3"/>
  <c r="H862" i="3"/>
  <c r="L346" i="3"/>
  <c r="N85" i="3"/>
  <c r="N772" i="3"/>
  <c r="J772" i="3"/>
  <c r="L772" i="3"/>
  <c r="H881" i="3"/>
  <c r="L881" i="3"/>
  <c r="J881" i="3"/>
  <c r="H890" i="3"/>
  <c r="J890" i="3"/>
  <c r="L890" i="3"/>
  <c r="N890" i="3"/>
  <c r="L745" i="3"/>
  <c r="N745" i="3"/>
  <c r="H656" i="3"/>
  <c r="N656" i="3"/>
  <c r="L656" i="3"/>
  <c r="N844" i="3"/>
  <c r="L844" i="3"/>
  <c r="J844" i="3"/>
  <c r="L749" i="3"/>
  <c r="J749" i="3"/>
  <c r="N749" i="3"/>
  <c r="N743" i="3"/>
  <c r="H743" i="3"/>
  <c r="J628" i="3"/>
  <c r="L628" i="3"/>
  <c r="N628" i="3"/>
  <c r="N334" i="3"/>
  <c r="J334" i="3"/>
  <c r="L334" i="3"/>
  <c r="L713" i="3"/>
  <c r="N713" i="3"/>
  <c r="J663" i="3"/>
  <c r="L663" i="3"/>
  <c r="H663" i="3"/>
  <c r="L374" i="3"/>
  <c r="H374" i="3"/>
  <c r="J374" i="3"/>
  <c r="L897" i="3"/>
  <c r="H897" i="3"/>
  <c r="N897" i="3"/>
  <c r="N816" i="3"/>
  <c r="L816" i="3"/>
  <c r="J816" i="3"/>
  <c r="N741" i="3"/>
  <c r="L741" i="3"/>
  <c r="H741" i="3"/>
  <c r="J741" i="3"/>
  <c r="N689" i="3"/>
  <c r="H689" i="3"/>
  <c r="J689" i="3"/>
  <c r="L689" i="3"/>
  <c r="H461" i="3"/>
  <c r="L461" i="3"/>
  <c r="N461" i="3"/>
  <c r="J611" i="3"/>
  <c r="L611" i="3"/>
  <c r="N611" i="3"/>
  <c r="H611" i="3"/>
  <c r="H475" i="3"/>
  <c r="J475" i="3"/>
  <c r="N475" i="3"/>
  <c r="L350" i="3"/>
  <c r="H350" i="3"/>
  <c r="N350" i="3"/>
  <c r="H17" i="3"/>
  <c r="J456" i="3"/>
  <c r="L685" i="3"/>
  <c r="J202" i="3"/>
  <c r="N140" i="3"/>
  <c r="L407" i="3"/>
  <c r="N218" i="3"/>
  <c r="N447" i="3"/>
  <c r="H593" i="3"/>
  <c r="J860" i="3"/>
  <c r="N49" i="3"/>
  <c r="L708" i="3"/>
  <c r="H37" i="3"/>
  <c r="H202" i="3"/>
  <c r="H172" i="3"/>
  <c r="L234" i="3"/>
  <c r="H749" i="3"/>
  <c r="H813" i="3"/>
  <c r="H827" i="3"/>
  <c r="J800" i="3"/>
  <c r="N658" i="3"/>
  <c r="N706" i="3"/>
  <c r="H839" i="3"/>
  <c r="H832" i="3"/>
  <c r="L871" i="3"/>
  <c r="J160" i="3"/>
  <c r="N427" i="3"/>
  <c r="J670" i="3"/>
  <c r="H36" i="3"/>
  <c r="L68" i="3"/>
  <c r="N449" i="3"/>
  <c r="H371" i="3"/>
  <c r="N564" i="3"/>
  <c r="L801" i="3"/>
  <c r="N413" i="3"/>
  <c r="J350" i="3"/>
  <c r="L191" i="3"/>
  <c r="J485" i="3"/>
  <c r="L785" i="3"/>
  <c r="N553" i="3"/>
  <c r="H318" i="3"/>
  <c r="J318" i="3"/>
  <c r="J266" i="3"/>
  <c r="N266" i="3"/>
  <c r="H266" i="3"/>
  <c r="J204" i="3"/>
  <c r="L204" i="3"/>
  <c r="H204" i="3"/>
  <c r="N204" i="3"/>
  <c r="J159" i="3"/>
  <c r="L159" i="3"/>
  <c r="J178" i="3"/>
  <c r="L178" i="3"/>
  <c r="N178" i="3"/>
  <c r="L118" i="3"/>
  <c r="N118" i="3"/>
  <c r="H118" i="3"/>
  <c r="N139" i="3"/>
  <c r="H139" i="3"/>
  <c r="L89" i="3"/>
  <c r="J89" i="3"/>
  <c r="H57" i="3"/>
  <c r="N57" i="3"/>
  <c r="J57" i="3"/>
  <c r="J26" i="3"/>
  <c r="H26" i="3"/>
  <c r="N26" i="3"/>
  <c r="J906" i="3"/>
  <c r="L906" i="3"/>
  <c r="N907" i="3"/>
  <c r="J907" i="3"/>
  <c r="H822" i="3"/>
  <c r="L907" i="3"/>
  <c r="J139" i="3"/>
  <c r="N318" i="3"/>
  <c r="L57" i="3"/>
  <c r="H159" i="3"/>
  <c r="L266" i="3"/>
  <c r="N89" i="3"/>
  <c r="H375" i="3"/>
  <c r="N375" i="3"/>
  <c r="L450" i="3"/>
  <c r="H450" i="3"/>
  <c r="N450" i="3"/>
  <c r="J486" i="3"/>
  <c r="L486" i="3"/>
  <c r="J551" i="3"/>
  <c r="L551" i="3"/>
  <c r="J557" i="3"/>
  <c r="L557" i="3"/>
  <c r="H606" i="3"/>
  <c r="N606" i="3"/>
  <c r="J606" i="3"/>
  <c r="L606" i="3"/>
  <c r="L462" i="3"/>
  <c r="N462" i="3"/>
  <c r="H462" i="3"/>
  <c r="J462" i="3"/>
  <c r="N417" i="3"/>
  <c r="H417" i="3"/>
  <c r="H324" i="3"/>
  <c r="L324" i="3"/>
  <c r="N324" i="3"/>
  <c r="N436" i="3"/>
  <c r="L436" i="3"/>
  <c r="N225" i="3"/>
  <c r="L225" i="3"/>
  <c r="J450" i="3"/>
  <c r="L375" i="3"/>
  <c r="J375" i="3"/>
  <c r="J162" i="3"/>
  <c r="H176" i="3"/>
  <c r="N207" i="3"/>
  <c r="H311" i="3"/>
  <c r="J311" i="3"/>
  <c r="N271" i="3"/>
  <c r="L271" i="3"/>
  <c r="J271" i="3"/>
  <c r="L151" i="3"/>
  <c r="J151" i="3"/>
  <c r="J102" i="3"/>
  <c r="N102" i="3"/>
  <c r="N72" i="3"/>
  <c r="L72" i="3"/>
  <c r="H11" i="3"/>
  <c r="N866" i="3"/>
  <c r="B43" i="2"/>
  <c r="H39" i="2"/>
  <c r="H40" i="2" s="1"/>
  <c r="D8" i="1" l="1"/>
  <c r="D6" i="1" s="1"/>
  <c r="B8" i="1"/>
  <c r="B7" i="1" s="1"/>
  <c r="B9" i="1"/>
  <c r="B32" i="2" s="1"/>
  <c r="B44" i="2" s="1"/>
  <c r="D9" i="1" s="1"/>
  <c r="B10" i="1"/>
  <c r="K32" i="2" s="1"/>
  <c r="K30" i="2" s="1"/>
  <c r="K39" i="2" s="1"/>
  <c r="K40" i="2" s="1"/>
  <c r="D10" i="1" l="1"/>
  <c r="D5" i="1" s="1"/>
  <c r="E27" i="2"/>
  <c r="E26" i="2"/>
  <c r="D3" i="1"/>
  <c r="E30" i="2" l="1"/>
  <c r="E40" i="2" s="1"/>
  <c r="E41" i="2" s="1"/>
  <c r="D11" i="1" s="1"/>
  <c r="D7" i="1" s="1"/>
  <c r="D1" i="1" s="1"/>
</calcChain>
</file>

<file path=xl/sharedStrings.xml><?xml version="1.0" encoding="utf-8"?>
<sst xmlns="http://schemas.openxmlformats.org/spreadsheetml/2006/main" count="4249" uniqueCount="289">
  <si>
    <t>Season</t>
  </si>
  <si>
    <t>Previous Day</t>
  </si>
  <si>
    <t>Current Day</t>
  </si>
  <si>
    <t>Spring</t>
  </si>
  <si>
    <t>Precipitation</t>
  </si>
  <si>
    <t>Clear</t>
  </si>
  <si>
    <t>Light Clouds</t>
  </si>
  <si>
    <t>Overcast</t>
  </si>
  <si>
    <t>Snow</t>
  </si>
  <si>
    <t>Fog</t>
  </si>
  <si>
    <t>Temperature</t>
  </si>
  <si>
    <t>Wind</t>
  </si>
  <si>
    <t>Calm</t>
  </si>
  <si>
    <t>Moderate</t>
  </si>
  <si>
    <t>Gale</t>
  </si>
  <si>
    <t>Storm</t>
  </si>
  <si>
    <t>Hot</t>
  </si>
  <si>
    <t>Warm</t>
  </si>
  <si>
    <t>Cool</t>
  </si>
  <si>
    <t>Cold</t>
  </si>
  <si>
    <t>Arctic Cold</t>
  </si>
  <si>
    <t>Preciptitation</t>
  </si>
  <si>
    <t>Unbearably Hot</t>
  </si>
  <si>
    <t>Key #</t>
  </si>
  <si>
    <t>Wind Direction</t>
  </si>
  <si>
    <t>Northerly</t>
  </si>
  <si>
    <t>Westerly</t>
  </si>
  <si>
    <t>Southerly</t>
  </si>
  <si>
    <t>Easterly</t>
  </si>
  <si>
    <t>Allowed</t>
  </si>
  <si>
    <t>None</t>
  </si>
  <si>
    <t>Winter</t>
  </si>
  <si>
    <t>Summer</t>
  </si>
  <si>
    <t>Fall</t>
  </si>
  <si>
    <t>Wkey</t>
  </si>
  <si>
    <t>SpKey</t>
  </si>
  <si>
    <t>Skey</t>
  </si>
  <si>
    <t>Fkey</t>
  </si>
  <si>
    <t>Chance</t>
  </si>
  <si>
    <t>Action</t>
  </si>
  <si>
    <t>Change</t>
  </si>
  <si>
    <t>Return</t>
  </si>
  <si>
    <t>Yesterday Val</t>
  </si>
  <si>
    <t>Today Val</t>
  </si>
  <si>
    <t>Rand #2</t>
  </si>
  <si>
    <t>Rand #1</t>
  </si>
  <si>
    <t>Wind Strength</t>
  </si>
  <si>
    <t>Easterly?</t>
  </si>
  <si>
    <t>Valid?</t>
  </si>
  <si>
    <t>Today Change</t>
  </si>
  <si>
    <t>Torrential Rain/Blizzard(W)</t>
  </si>
  <si>
    <t>Hail/Snow(Sp)</t>
  </si>
  <si>
    <t>Driving Hail/Blizzard(Sp)</t>
  </si>
  <si>
    <t>Rain/Snow(W)</t>
  </si>
  <si>
    <t>Breeze</t>
  </si>
  <si>
    <t>#IF(B1="Fall",VLOOKUP(D7,'Weather Key'!N2:N919,1,FALSE),"ERROR"))</t>
  </si>
  <si>
    <t>#VLOOKUP(D7, 'Weather Key'!N2:N919,1,FALSE)</t>
  </si>
  <si>
    <t>E</t>
  </si>
  <si>
    <t>N</t>
  </si>
  <si>
    <t>S</t>
  </si>
  <si>
    <t>W</t>
  </si>
  <si>
    <t>NE</t>
  </si>
  <si>
    <t>NW</t>
  </si>
  <si>
    <t>SE</t>
  </si>
  <si>
    <t>SW</t>
  </si>
  <si>
    <t>What I want:</t>
  </si>
  <si>
    <t>Input:</t>
  </si>
  <si>
    <t>Climate</t>
  </si>
  <si>
    <t>Location</t>
  </si>
  <si>
    <t>Possible Inputs</t>
  </si>
  <si>
    <t>Arctic</t>
  </si>
  <si>
    <t>Temperate</t>
  </si>
  <si>
    <t>Tropical</t>
  </si>
  <si>
    <t>Sub Arctic/Continental</t>
  </si>
  <si>
    <t>Temperate/Moderate</t>
  </si>
  <si>
    <t>Dry</t>
  </si>
  <si>
    <t>Mountains</t>
  </si>
  <si>
    <t>Hills</t>
  </si>
  <si>
    <t>Grassland</t>
  </si>
  <si>
    <t>Forest</t>
  </si>
  <si>
    <t>Outputs:</t>
  </si>
  <si>
    <t>Strong</t>
  </si>
  <si>
    <t>Light Rain/Snow</t>
  </si>
  <si>
    <t>Heavy Rain/Snow</t>
  </si>
  <si>
    <t>Combos:</t>
  </si>
  <si>
    <t>Thunderstorm/Hail</t>
  </si>
  <si>
    <t>If Thunderstorm, wind must be at least Moderate</t>
  </si>
  <si>
    <t>Extreme Cold</t>
  </si>
  <si>
    <t>Very Cold</t>
  </si>
  <si>
    <t>Extremely Hot</t>
  </si>
  <si>
    <t>(in degrees F)</t>
  </si>
  <si>
    <t>If temperature is Very Cold or colder, Snow instead of rain (if Cold, make a roll, 50-50?)</t>
  </si>
  <si>
    <t>Also want to have random natural disasters happen, based on rolls/climate and location?</t>
  </si>
  <si>
    <t>Disasters:</t>
  </si>
  <si>
    <t>Tsunami</t>
  </si>
  <si>
    <t>Hurricane</t>
  </si>
  <si>
    <t>If thunderstorm in Cold or Colder AND strong wind, Hail (stronger wind means larger hail, more damage) @ maximum size, grapefruit - softball, minimum = marble</t>
  </si>
  <si>
    <t>Hail size chart:</t>
  </si>
  <si>
    <t>Wind strength:</t>
  </si>
  <si>
    <t>Size</t>
  </si>
  <si>
    <t>Damage</t>
  </si>
  <si>
    <t>None Serious</t>
  </si>
  <si>
    <t>Small Coin</t>
  </si>
  <si>
    <t>1d4/2 +.5 inch</t>
  </si>
  <si>
    <t>1d12</t>
  </si>
  <si>
    <t>Notes:</t>
  </si>
  <si>
    <t>Totally throw in random rerolls of weather for magic effects</t>
  </si>
  <si>
    <t>Cyclone</t>
  </si>
  <si>
    <t>Tornado (waterspout)</t>
  </si>
  <si>
    <t>Severe Thunderstorm</t>
  </si>
  <si>
    <t>Microburst (5 min Extreme wind opposite tornado following severe thunderstorm)</t>
  </si>
  <si>
    <t> temperature or moisture boundary, moisture, and (in the event of severe, precipitation-based events), instability in the atmosphere</t>
  </si>
  <si>
    <t>Need:</t>
  </si>
  <si>
    <t>Thunderstorm might be more dependent on wind</t>
  </si>
  <si>
    <t>Also:</t>
  </si>
  <si>
    <t>Slight forecast - so as to warn players of incoming storms, etc.</t>
  </si>
  <si>
    <t>(mph)</t>
  </si>
  <si>
    <t>4-10</t>
  </si>
  <si>
    <t>13-22</t>
  </si>
  <si>
    <t>effects</t>
  </si>
  <si>
    <t>vertical smoke</t>
  </si>
  <si>
    <t>felt, flags, etc</t>
  </si>
  <si>
    <t>loose paper raised, small tree and brances sway</t>
  </si>
  <si>
    <t>25-40</t>
  </si>
  <si>
    <t>Large branches, trees sway, whistling, feel resistance</t>
  </si>
  <si>
    <t>small branches break off trees</t>
  </si>
  <si>
    <t>Strong Gale</t>
  </si>
  <si>
    <t>40-47</t>
  </si>
  <si>
    <t>47-54</t>
  </si>
  <si>
    <t>Slight Structural Damage</t>
  </si>
  <si>
    <t>Whole Gale</t>
  </si>
  <si>
    <t>55-63</t>
  </si>
  <si>
    <t>Trees broken down,structural damage</t>
  </si>
  <si>
    <t>64-72</t>
  </si>
  <si>
    <t>Rare on land, widespread damage</t>
  </si>
  <si>
    <t>ridicuulous</t>
  </si>
  <si>
    <t>&gt;73</t>
  </si>
  <si>
    <t>Use survival checks to notice animal behaviour predeictive of weather</t>
  </si>
  <si>
    <t>Need forecast for a way to warn players ahead of time</t>
  </si>
  <si>
    <t>Tornado</t>
  </si>
  <si>
    <t>* easiest part (1d8)</t>
  </si>
  <si>
    <t>Modifiers</t>
  </si>
  <si>
    <t>easy way to add likelyhood of extreme weather, for villans or chaotic magic or elementals or whatever</t>
  </si>
  <si>
    <t>Ocean</t>
  </si>
  <si>
    <t>Desert</t>
  </si>
  <si>
    <t>Swamp</t>
  </si>
  <si>
    <t>Mountain</t>
  </si>
  <si>
    <t>Plains</t>
  </si>
  <si>
    <t>Temp</t>
  </si>
  <si>
    <t>Hotter</t>
  </si>
  <si>
    <t>Colder</t>
  </si>
  <si>
    <t>Slightly colder?</t>
  </si>
  <si>
    <t>Sub Arctic</t>
  </si>
  <si>
    <t>Much Colder</t>
  </si>
  <si>
    <t>Clouds</t>
  </si>
  <si>
    <t>Light Rain</t>
  </si>
  <si>
    <t>Heavy Rain</t>
  </si>
  <si>
    <t>Extreme</t>
  </si>
  <si>
    <t>Heavy fog</t>
  </si>
  <si>
    <t>Light fog</t>
  </si>
  <si>
    <t>Thunder</t>
  </si>
  <si>
    <t>Disaster</t>
  </si>
  <si>
    <t>Severe</t>
  </si>
  <si>
    <t>Sthunder</t>
  </si>
  <si>
    <t>Dry Thunderstorm</t>
  </si>
  <si>
    <t>d100</t>
  </si>
  <si>
    <t>Blizzard</t>
  </si>
  <si>
    <t>Mild</t>
  </si>
  <si>
    <t>Wildfire</t>
  </si>
  <si>
    <t>d300</t>
  </si>
  <si>
    <t>Base</t>
  </si>
  <si>
    <t>More (+ category)</t>
  </si>
  <si>
    <t>Modifier?</t>
  </si>
  <si>
    <t>Drop-down</t>
  </si>
  <si>
    <t>Day</t>
  </si>
  <si>
    <t>Forecast/History</t>
  </si>
  <si>
    <t>Today</t>
  </si>
  <si>
    <t>Tomorrow</t>
  </si>
  <si>
    <t>Yesterday</t>
  </si>
  <si>
    <t>*possibly implemented elsewhere - like in rolling macro</t>
  </si>
  <si>
    <t>&lt;0</t>
  </si>
  <si>
    <t>&gt;100</t>
  </si>
  <si>
    <t>85-100</t>
  </si>
  <si>
    <t>70-85</t>
  </si>
  <si>
    <t>20-40</t>
  </si>
  <si>
    <t>0-20</t>
  </si>
  <si>
    <t>40-55</t>
  </si>
  <si>
    <t>55-70</t>
  </si>
  <si>
    <t>Disaster Notes:</t>
  </si>
  <si>
    <t>Requires warm air and moisture</t>
  </si>
  <si>
    <t>Modifier and 300</t>
  </si>
  <si>
    <t>Catastrophe</t>
  </si>
  <si>
    <t>Most common, can create tornados, hail</t>
  </si>
  <si>
    <t>Regular Storm but when its cold</t>
  </si>
  <si>
    <t>https://en.wikipedia.org/wiki/Severe_weather#High_winds</t>
  </si>
  <si>
    <t>Cyclone/Hurricane/Typhoon</t>
  </si>
  <si>
    <t>Tornado/Waterspout</t>
  </si>
  <si>
    <t>Wildfire/Dry Thunderstorm</t>
  </si>
  <si>
    <t>None in arctic, rare in sub arctic</t>
  </si>
  <si>
    <t>Not gonna happen when blizzard is viable</t>
  </si>
  <si>
    <t>Ocean, Coast, summer, fall</t>
  </si>
  <si>
    <t>All the same, oceanic tropical storm, near ocean, with thunder</t>
  </si>
  <si>
    <t>Sand/Dust storm</t>
  </si>
  <si>
    <t>Rain evaporates, main source of wildfires</t>
  </si>
  <si>
    <t>Avalanche</t>
  </si>
  <si>
    <t>Land/Mudslide</t>
  </si>
  <si>
    <t>Earthquake</t>
  </si>
  <si>
    <t>Volcano</t>
  </si>
  <si>
    <t>Thunderstorm outflow or simple pressure gradient</t>
  </si>
  <si>
    <t>Dry climate or desert</t>
  </si>
  <si>
    <t>Severity</t>
  </si>
  <si>
    <t>more of an event</t>
  </si>
  <si>
    <t>3 (Wildfire)</t>
  </si>
  <si>
    <t>Won't form, but can't blow away magical fog</t>
  </si>
  <si>
    <t>requires Very Cold and Strong winds with precipitation</t>
  </si>
  <si>
    <t>Reminder: NOT ABSOLUTE</t>
  </si>
  <si>
    <t>Dry Climate and Hot out and precipitation</t>
  </si>
  <si>
    <t>Snow + Mountains</t>
  </si>
  <si>
    <t>Mountain/Hill</t>
  </si>
  <si>
    <t>Water/Coast</t>
  </si>
  <si>
    <t>Caused by seismic activity or explosions</t>
  </si>
  <si>
    <t>requirements</t>
  </si>
  <si>
    <t>name</t>
  </si>
  <si>
    <t>All</t>
  </si>
  <si>
    <t>Lack of stability from another cause, triggered</t>
  </si>
  <si>
    <t>3 (rockslide)</t>
  </si>
  <si>
    <t>Not actually triggered by sound, needs load or seismic activity</t>
  </si>
  <si>
    <t>Most severe in specific areas</t>
  </si>
  <si>
    <t>Pressure builds up or whatever</t>
  </si>
  <si>
    <t>Mountains (Volcano)</t>
  </si>
  <si>
    <t>Sinkhole</t>
  </si>
  <si>
    <t>Erosion/mining caves in below</t>
  </si>
  <si>
    <t>Underground things</t>
  </si>
  <si>
    <t>Whirlpool</t>
  </si>
  <si>
    <t>Not a disaster, more like a weird locale</t>
  </si>
  <si>
    <t>Ocean, Water</t>
  </si>
  <si>
    <t>*mutliplier for climate</t>
  </si>
  <si>
    <t>Season Multiplier</t>
  </si>
  <si>
    <t>1d4+4</t>
  </si>
  <si>
    <t>-1d4-4</t>
  </si>
  <si>
    <t>Inputs</t>
  </si>
  <si>
    <t>73-84</t>
  </si>
  <si>
    <t>0-3</t>
  </si>
  <si>
    <t>Extremely Cold</t>
  </si>
  <si>
    <t>Temp Description</t>
  </si>
  <si>
    <t>North</t>
  </si>
  <si>
    <t>South</t>
  </si>
  <si>
    <t>East</t>
  </si>
  <si>
    <t>West</t>
  </si>
  <si>
    <t>Northeast</t>
  </si>
  <si>
    <t>Northwest</t>
  </si>
  <si>
    <t>Southeast</t>
  </si>
  <si>
    <t>Southwest</t>
  </si>
  <si>
    <t>2 days ago</t>
  </si>
  <si>
    <t>3 days</t>
  </si>
  <si>
    <t>4 days</t>
  </si>
  <si>
    <t>2 days</t>
  </si>
  <si>
    <t>Light</t>
  </si>
  <si>
    <t>Heavy</t>
  </si>
  <si>
    <t>Severe Blizzard</t>
  </si>
  <si>
    <t>Far away/weak tornado</t>
  </si>
  <si>
    <t>Slight Structural Damage (no ranged attacks)</t>
  </si>
  <si>
    <t>Hail</t>
  </si>
  <si>
    <t>Large Hail (1 damage/round)</t>
  </si>
  <si>
    <t>Windstorm</t>
  </si>
  <si>
    <t>http://www.d20srd.org/srd/weather.htm</t>
  </si>
  <si>
    <t>Lots of Wind</t>
  </si>
  <si>
    <t>any</t>
  </si>
  <si>
    <t>windstorm</t>
  </si>
  <si>
    <t>Sub-Arctic</t>
  </si>
  <si>
    <t>not</t>
  </si>
  <si>
    <t>rain</t>
  </si>
  <si>
    <t>no rain</t>
  </si>
  <si>
    <t>tornado</t>
  </si>
  <si>
    <t>thunder</t>
  </si>
  <si>
    <t>blizzard</t>
  </si>
  <si>
    <t>dry thunderstorm, wildfire</t>
  </si>
  <si>
    <t>sandstorm, tornado</t>
  </si>
  <si>
    <t>either</t>
  </si>
  <si>
    <t>avalanche</t>
  </si>
  <si>
    <t>rockslide</t>
  </si>
  <si>
    <t>volcano</t>
  </si>
  <si>
    <t>tsunami</t>
  </si>
  <si>
    <t>tsunami/earthquake</t>
  </si>
  <si>
    <t>sinkhole</t>
  </si>
  <si>
    <t>seismic activity</t>
  </si>
  <si>
    <t>earthquake</t>
  </si>
  <si>
    <t>trigger for rockslide,avalanche</t>
  </si>
  <si>
    <t>Coast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</si>
</sst>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52525"/>
      <name val="Arial"/>
      <family val="2"/>
    </font>
    <font>
      <sz val="11"/>
      <color rgb="FF000000"/>
      <name val="Calibri"/>
      <family val="2"/>
    </font>
    <font>
      <b/>
      <sz val="11"/>
      <color rgb="FFFA7D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4" fillId="2" borderId="15" applyNumberFormat="0" applyAlignment="0" applyProtection="0"/>
    <xf numFmtId="0" fontId="5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2" xfId="0" applyFont="1" applyBorder="1"/>
    <xf numFmtId="0" fontId="0" fillId="0" borderId="3" xfId="0" applyBorder="1"/>
    <xf numFmtId="0" fontId="1" fillId="0" borderId="0" xfId="0" applyFont="1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0" fillId="0" borderId="0" xfId="0" applyFill="1" applyBorder="1"/>
    <xf numFmtId="0" fontId="1" fillId="0" borderId="3" xfId="0" applyFont="1" applyBorder="1"/>
    <xf numFmtId="2" fontId="0" fillId="0" borderId="0" xfId="0" applyNumberFormat="1"/>
    <xf numFmtId="0" fontId="0" fillId="0" borderId="10" xfId="0" applyBorder="1"/>
    <xf numFmtId="2" fontId="0" fillId="0" borderId="5" xfId="0" applyNumberFormat="1" applyBorder="1"/>
    <xf numFmtId="0" fontId="0" fillId="0" borderId="11" xfId="0" applyBorder="1"/>
    <xf numFmtId="0" fontId="0" fillId="0" borderId="1" xfId="0" applyFill="1" applyBorder="1"/>
    <xf numFmtId="0" fontId="0" fillId="0" borderId="2" xfId="0" applyFill="1" applyBorder="1"/>
    <xf numFmtId="0" fontId="0" fillId="0" borderId="9" xfId="0" applyFill="1" applyBorder="1"/>
    <xf numFmtId="0" fontId="0" fillId="0" borderId="3" xfId="0" applyFill="1" applyBorder="1"/>
    <xf numFmtId="0" fontId="0" fillId="0" borderId="10" xfId="0" applyFill="1" applyBorder="1"/>
    <xf numFmtId="0" fontId="0" fillId="0" borderId="4" xfId="0" applyFill="1" applyBorder="1"/>
    <xf numFmtId="2" fontId="0" fillId="0" borderId="5" xfId="0" applyNumberFormat="1" applyFill="1" applyBorder="1"/>
    <xf numFmtId="0" fontId="0" fillId="0" borderId="11" xfId="0" applyFill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2" xfId="0" applyFill="1" applyBorder="1"/>
    <xf numFmtId="0" fontId="0" fillId="0" borderId="13" xfId="0" applyFill="1" applyBorder="1"/>
    <xf numFmtId="0" fontId="0" fillId="0" borderId="14" xfId="0" applyFill="1" applyBorder="1"/>
    <xf numFmtId="1" fontId="0" fillId="0" borderId="0" xfId="0" applyNumberFormat="1"/>
    <xf numFmtId="1" fontId="0" fillId="0" borderId="0" xfId="0" applyNumberFormat="1" applyBorder="1"/>
    <xf numFmtId="2" fontId="0" fillId="0" borderId="13" xfId="0" applyNumberFormat="1" applyFill="1" applyBorder="1"/>
    <xf numFmtId="2" fontId="0" fillId="0" borderId="13" xfId="0" applyNumberFormat="1" applyBorder="1"/>
    <xf numFmtId="0" fontId="0" fillId="0" borderId="0" xfId="0" quotePrefix="1" applyNumberFormat="1"/>
    <xf numFmtId="16" fontId="0" fillId="0" borderId="0" xfId="0" quotePrefix="1" applyNumberFormat="1"/>
    <xf numFmtId="0" fontId="2" fillId="0" borderId="0" xfId="0" applyFont="1"/>
    <xf numFmtId="0" fontId="0" fillId="0" borderId="0" xfId="0" quotePrefix="1"/>
    <xf numFmtId="0" fontId="0" fillId="0" borderId="0" xfId="0" applyAlignment="1"/>
    <xf numFmtId="0" fontId="0" fillId="0" borderId="0" xfId="0" applyAlignment="1">
      <alignment horizontal="center"/>
    </xf>
    <xf numFmtId="0" fontId="5" fillId="0" borderId="0" xfId="2"/>
    <xf numFmtId="0" fontId="4" fillId="2" borderId="15" xfId="1"/>
  </cellXfs>
  <cellStyles count="3">
    <cellStyle name="Calculation" xfId="1" builtinId="22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504825</xdr:colOff>
          <xdr:row>14</xdr:row>
          <xdr:rowOff>152400</xdr:rowOff>
        </xdr:from>
        <xdr:to>
          <xdr:col>3</xdr:col>
          <xdr:colOff>590550</xdr:colOff>
          <xdr:row>16</xdr:row>
          <xdr:rowOff>9525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Next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14</xdr:row>
          <xdr:rowOff>133350</xdr:rowOff>
        </xdr:from>
        <xdr:to>
          <xdr:col>4</xdr:col>
          <xdr:colOff>914400</xdr:colOff>
          <xdr:row>15</xdr:row>
          <xdr:rowOff>180975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Roll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14</xdr:row>
          <xdr:rowOff>142875</xdr:rowOff>
        </xdr:from>
        <xdr:to>
          <xdr:col>6</xdr:col>
          <xdr:colOff>352425</xdr:colOff>
          <xdr:row>16</xdr:row>
          <xdr:rowOff>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16</xdr:row>
          <xdr:rowOff>152400</xdr:rowOff>
        </xdr:from>
        <xdr:to>
          <xdr:col>5</xdr:col>
          <xdr:colOff>47625</xdr:colOff>
          <xdr:row>18</xdr:row>
          <xdr:rowOff>9525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Roll Week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d20srd.org/srd/weather.ht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P15"/>
  <sheetViews>
    <sheetView tabSelected="1" workbookViewId="0">
      <selection activeCell="D3" sqref="D3"/>
    </sheetView>
  </sheetViews>
  <sheetFormatPr defaultRowHeight="15" x14ac:dyDescent="0.25"/>
  <cols>
    <col min="2" max="2" width="23.85546875" customWidth="1"/>
    <col min="3" max="3" width="11" customWidth="1"/>
    <col min="4" max="4" width="15" customWidth="1"/>
    <col min="5" max="5" width="14.7109375" customWidth="1"/>
    <col min="6" max="6" width="14.5703125" customWidth="1"/>
    <col min="7" max="7" width="15" customWidth="1"/>
    <col min="8" max="9" width="13.7109375" customWidth="1"/>
  </cols>
  <sheetData>
    <row r="2" spans="2:16" x14ac:dyDescent="0.25">
      <c r="B2" t="s">
        <v>67</v>
      </c>
      <c r="C2" t="s">
        <v>0</v>
      </c>
      <c r="D2" t="s">
        <v>68</v>
      </c>
      <c r="G2" t="s">
        <v>172</v>
      </c>
      <c r="M2" s="42" t="s">
        <v>265</v>
      </c>
    </row>
    <row r="3" spans="2:16" x14ac:dyDescent="0.25">
      <c r="B3" t="s">
        <v>71</v>
      </c>
      <c r="C3" t="s">
        <v>33</v>
      </c>
      <c r="D3" t="s">
        <v>147</v>
      </c>
      <c r="G3" t="s">
        <v>173</v>
      </c>
      <c r="H3" t="s">
        <v>179</v>
      </c>
    </row>
    <row r="4" spans="2:16" x14ac:dyDescent="0.25">
      <c r="D4" t="str">
        <f>IF(D3="Mountain","Enter Elevation:","")</f>
        <v/>
      </c>
      <c r="E4" s="43">
        <v>0</v>
      </c>
      <c r="P4" s="39"/>
    </row>
    <row r="5" spans="2:16" x14ac:dyDescent="0.25">
      <c r="P5" s="39"/>
    </row>
    <row r="6" spans="2:16" x14ac:dyDescent="0.25">
      <c r="B6" t="s">
        <v>175</v>
      </c>
      <c r="C6" t="s">
        <v>253</v>
      </c>
      <c r="D6" t="s">
        <v>178</v>
      </c>
      <c r="E6" t="s">
        <v>176</v>
      </c>
      <c r="F6" t="s">
        <v>177</v>
      </c>
      <c r="G6" t="s">
        <v>256</v>
      </c>
      <c r="H6" t="s">
        <v>254</v>
      </c>
      <c r="I6" t="s">
        <v>255</v>
      </c>
      <c r="P6" s="39"/>
    </row>
    <row r="7" spans="2:16" x14ac:dyDescent="0.25">
      <c r="B7" t="s">
        <v>174</v>
      </c>
      <c r="P7" s="39"/>
    </row>
    <row r="8" spans="2:16" x14ac:dyDescent="0.25">
      <c r="B8" t="s">
        <v>10</v>
      </c>
      <c r="C8">
        <v>57</v>
      </c>
      <c r="D8">
        <v>41</v>
      </c>
      <c r="E8">
        <v>48</v>
      </c>
      <c r="F8">
        <v>38</v>
      </c>
      <c r="G8">
        <v>70</v>
      </c>
      <c r="H8">
        <v>64</v>
      </c>
      <c r="I8">
        <v>37</v>
      </c>
    </row>
    <row r="9" spans="2:16" x14ac:dyDescent="0.25">
      <c r="B9" t="s">
        <v>244</v>
      </c>
      <c r="C9" t="s">
        <v>71</v>
      </c>
      <c r="D9" t="s">
        <v>18</v>
      </c>
      <c r="E9" t="s">
        <v>18</v>
      </c>
      <c r="F9" t="s">
        <v>19</v>
      </c>
      <c r="G9" t="s">
        <v>17</v>
      </c>
      <c r="H9" t="s">
        <v>71</v>
      </c>
      <c r="I9" t="s">
        <v>19</v>
      </c>
    </row>
    <row r="10" spans="2:16" x14ac:dyDescent="0.25">
      <c r="B10" t="s">
        <v>4</v>
      </c>
      <c r="C10" t="s">
        <v>7</v>
      </c>
      <c r="D10" t="s">
        <v>7</v>
      </c>
      <c r="E10" t="s">
        <v>257</v>
      </c>
      <c r="F10" t="s">
        <v>5</v>
      </c>
      <c r="G10" t="s">
        <v>5</v>
      </c>
      <c r="H10" t="s">
        <v>7</v>
      </c>
      <c r="I10" t="s">
        <v>257</v>
      </c>
    </row>
    <row r="11" spans="2:16" x14ac:dyDescent="0.25">
      <c r="B11" t="s">
        <v>11</v>
      </c>
      <c r="C11" t="s">
        <v>54</v>
      </c>
      <c r="D11" t="s">
        <v>15</v>
      </c>
      <c r="E11" t="s">
        <v>54</v>
      </c>
      <c r="F11" t="s">
        <v>54</v>
      </c>
      <c r="G11" t="s">
        <v>13</v>
      </c>
      <c r="H11" t="s">
        <v>13</v>
      </c>
      <c r="I11" t="s">
        <v>81</v>
      </c>
    </row>
    <row r="12" spans="2:16" x14ac:dyDescent="0.25">
      <c r="B12" t="s">
        <v>24</v>
      </c>
      <c r="C12" t="s">
        <v>249</v>
      </c>
      <c r="D12" t="s">
        <v>250</v>
      </c>
      <c r="E12" t="s">
        <v>248</v>
      </c>
      <c r="F12" t="s">
        <v>251</v>
      </c>
      <c r="G12" t="s">
        <v>247</v>
      </c>
      <c r="H12" t="s">
        <v>245</v>
      </c>
      <c r="I12" t="s">
        <v>246</v>
      </c>
    </row>
    <row r="13" spans="2:16" x14ac:dyDescent="0.25">
      <c r="B13" t="s">
        <v>15</v>
      </c>
      <c r="D13" t="s">
        <v>264</v>
      </c>
      <c r="E13" t="s">
        <v>155</v>
      </c>
      <c r="I13" t="s">
        <v>15</v>
      </c>
    </row>
    <row r="15" spans="2:16" x14ac:dyDescent="0.25">
      <c r="B15" t="s">
        <v>215</v>
      </c>
    </row>
  </sheetData>
  <hyperlinks>
    <hyperlink ref="M2" r:id="rId1"/>
  </hyperlinks>
  <pageMargins left="0.7" right="0.7" top="0.75" bottom="0.75" header="0.3" footer="0.3"/>
  <pageSetup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Next_Day">
                <anchor moveWithCells="1">
                  <from>
                    <xdr:col>2</xdr:col>
                    <xdr:colOff>504825</xdr:colOff>
                    <xdr:row>14</xdr:row>
                    <xdr:rowOff>152400</xdr:rowOff>
                  </from>
                  <to>
                    <xdr:col>3</xdr:col>
                    <xdr:colOff>590550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Roll_Weather">
                <anchor moveWithCells="1">
                  <from>
                    <xdr:col>4</xdr:col>
                    <xdr:colOff>133350</xdr:colOff>
                    <xdr:row>14</xdr:row>
                    <xdr:rowOff>133350</xdr:rowOff>
                  </from>
                  <to>
                    <xdr:col>4</xdr:col>
                    <xdr:colOff>914400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7" name="Button 13">
              <controlPr defaultSize="0" print="0" autoFill="0" autoPict="0" macro="[0]!Clear_week">
                <anchor moveWithCells="1">
                  <from>
                    <xdr:col>5</xdr:col>
                    <xdr:colOff>466725</xdr:colOff>
                    <xdr:row>14</xdr:row>
                    <xdr:rowOff>142875</xdr:rowOff>
                  </from>
                  <to>
                    <xdr:col>6</xdr:col>
                    <xdr:colOff>352425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8" name="Button 14">
              <controlPr defaultSize="0" print="0" autoFill="0" autoPict="0" macro="[0]!Roll_Week">
                <anchor moveWithCells="1">
                  <from>
                    <xdr:col>4</xdr:col>
                    <xdr:colOff>171450</xdr:colOff>
                    <xdr:row>16</xdr:row>
                    <xdr:rowOff>152400</xdr:rowOff>
                  </from>
                  <to>
                    <xdr:col>5</xdr:col>
                    <xdr:colOff>47625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Weather!$C$3:$C$6</xm:f>
          </x14:formula1>
          <xm:sqref>C3</xm:sqref>
        </x14:dataValidation>
        <x14:dataValidation type="list" allowBlank="1" showInputMessage="1" showErrorMessage="1">
          <x14:formula1>
            <xm:f>Weather!$B$3:$B$10</xm:f>
          </x14:formula1>
          <xm:sqref>D3</xm:sqref>
        </x14:dataValidation>
        <x14:dataValidation type="list" allowBlank="1" showInputMessage="1" showErrorMessage="1">
          <x14:formula1>
            <xm:f>Weather!$D$3:$D$7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P26"/>
  <sheetViews>
    <sheetView workbookViewId="0">
      <selection activeCell="D11" sqref="D11"/>
    </sheetView>
  </sheetViews>
  <sheetFormatPr defaultRowHeight="15" x14ac:dyDescent="0.25"/>
  <sheetData>
    <row r="2" spans="1:16" x14ac:dyDescent="0.25">
      <c r="A2" t="s">
        <v>240</v>
      </c>
      <c r="B2" t="s">
        <v>68</v>
      </c>
      <c r="C2" t="s">
        <v>0</v>
      </c>
      <c r="D2" t="s">
        <v>67</v>
      </c>
      <c r="G2">
        <v>1</v>
      </c>
      <c r="H2">
        <v>1</v>
      </c>
      <c r="I2" t="s">
        <v>30</v>
      </c>
      <c r="J2" t="s">
        <v>242</v>
      </c>
      <c r="K2" t="s">
        <v>120</v>
      </c>
      <c r="L2" t="s">
        <v>245</v>
      </c>
      <c r="M2">
        <v>-100</v>
      </c>
      <c r="N2" t="s">
        <v>243</v>
      </c>
      <c r="O2">
        <v>-50</v>
      </c>
      <c r="P2" t="s">
        <v>5</v>
      </c>
    </row>
    <row r="3" spans="1:16" x14ac:dyDescent="0.25">
      <c r="B3" t="s">
        <v>146</v>
      </c>
      <c r="C3" t="s">
        <v>32</v>
      </c>
      <c r="D3" t="s">
        <v>70</v>
      </c>
      <c r="E3">
        <v>1</v>
      </c>
      <c r="G3">
        <v>93</v>
      </c>
      <c r="H3">
        <v>2</v>
      </c>
      <c r="I3" t="s">
        <v>54</v>
      </c>
      <c r="J3" s="39" t="s">
        <v>117</v>
      </c>
      <c r="K3" t="s">
        <v>121</v>
      </c>
      <c r="L3" t="s">
        <v>246</v>
      </c>
      <c r="M3">
        <v>0</v>
      </c>
      <c r="N3" t="s">
        <v>88</v>
      </c>
      <c r="O3">
        <v>21</v>
      </c>
      <c r="P3" t="s">
        <v>154</v>
      </c>
    </row>
    <row r="4" spans="1:16" x14ac:dyDescent="0.25">
      <c r="B4" t="s">
        <v>77</v>
      </c>
      <c r="C4" t="s">
        <v>3</v>
      </c>
      <c r="D4" t="s">
        <v>269</v>
      </c>
      <c r="E4">
        <v>2</v>
      </c>
      <c r="G4">
        <v>185</v>
      </c>
      <c r="H4">
        <v>3</v>
      </c>
      <c r="I4" t="s">
        <v>13</v>
      </c>
      <c r="J4" s="39" t="s">
        <v>118</v>
      </c>
      <c r="K4" t="s">
        <v>122</v>
      </c>
      <c r="L4" t="s">
        <v>247</v>
      </c>
      <c r="M4">
        <v>20</v>
      </c>
      <c r="N4" t="s">
        <v>19</v>
      </c>
      <c r="O4">
        <v>41</v>
      </c>
      <c r="P4" t="s">
        <v>7</v>
      </c>
    </row>
    <row r="5" spans="1:16" x14ac:dyDescent="0.25">
      <c r="B5" t="s">
        <v>147</v>
      </c>
      <c r="C5" t="s">
        <v>33</v>
      </c>
      <c r="D5" t="s">
        <v>71</v>
      </c>
      <c r="E5">
        <v>3</v>
      </c>
      <c r="G5">
        <v>258</v>
      </c>
      <c r="H5">
        <v>4</v>
      </c>
      <c r="I5" t="s">
        <v>81</v>
      </c>
      <c r="J5" s="39" t="s">
        <v>123</v>
      </c>
      <c r="K5" t="s">
        <v>124</v>
      </c>
      <c r="L5" t="s">
        <v>248</v>
      </c>
      <c r="M5">
        <v>40</v>
      </c>
      <c r="N5" t="s">
        <v>18</v>
      </c>
      <c r="O5" s="39">
        <v>61</v>
      </c>
      <c r="P5" t="s">
        <v>257</v>
      </c>
    </row>
    <row r="6" spans="1:16" x14ac:dyDescent="0.25">
      <c r="B6" t="s">
        <v>79</v>
      </c>
      <c r="C6" t="s">
        <v>31</v>
      </c>
      <c r="D6" t="s">
        <v>75</v>
      </c>
      <c r="E6">
        <v>4</v>
      </c>
      <c r="G6">
        <v>290</v>
      </c>
      <c r="H6">
        <v>5</v>
      </c>
      <c r="I6" t="s">
        <v>14</v>
      </c>
      <c r="J6" s="39" t="s">
        <v>127</v>
      </c>
      <c r="K6" t="s">
        <v>125</v>
      </c>
      <c r="L6" t="s">
        <v>249</v>
      </c>
      <c r="M6">
        <v>55</v>
      </c>
      <c r="N6" t="s">
        <v>71</v>
      </c>
      <c r="O6" s="39">
        <v>91</v>
      </c>
      <c r="P6" t="s">
        <v>258</v>
      </c>
    </row>
    <row r="7" spans="1:16" x14ac:dyDescent="0.25">
      <c r="B7" t="s">
        <v>143</v>
      </c>
      <c r="D7" t="s">
        <v>72</v>
      </c>
      <c r="E7">
        <v>5</v>
      </c>
      <c r="G7">
        <v>295</v>
      </c>
      <c r="H7">
        <v>6</v>
      </c>
      <c r="I7" t="s">
        <v>126</v>
      </c>
      <c r="J7" t="s">
        <v>128</v>
      </c>
      <c r="K7" t="s">
        <v>129</v>
      </c>
      <c r="L7" t="s">
        <v>250</v>
      </c>
      <c r="M7">
        <v>70</v>
      </c>
      <c r="N7" t="s">
        <v>17</v>
      </c>
    </row>
    <row r="8" spans="1:16" x14ac:dyDescent="0.25">
      <c r="B8" t="s">
        <v>144</v>
      </c>
      <c r="E8">
        <v>6</v>
      </c>
      <c r="G8">
        <v>297</v>
      </c>
      <c r="H8">
        <v>7</v>
      </c>
      <c r="I8" t="s">
        <v>130</v>
      </c>
      <c r="J8" t="s">
        <v>131</v>
      </c>
      <c r="K8" t="s">
        <v>132</v>
      </c>
      <c r="L8" t="s">
        <v>251</v>
      </c>
      <c r="M8">
        <v>85</v>
      </c>
      <c r="N8" t="s">
        <v>16</v>
      </c>
    </row>
    <row r="9" spans="1:16" x14ac:dyDescent="0.25">
      <c r="B9" t="s">
        <v>145</v>
      </c>
      <c r="E9">
        <v>7</v>
      </c>
      <c r="G9">
        <v>299</v>
      </c>
      <c r="H9">
        <v>8</v>
      </c>
      <c r="I9" t="s">
        <v>15</v>
      </c>
      <c r="J9" t="s">
        <v>133</v>
      </c>
      <c r="K9" t="s">
        <v>134</v>
      </c>
      <c r="L9" t="s">
        <v>252</v>
      </c>
      <c r="M9">
        <v>100</v>
      </c>
      <c r="N9" t="s">
        <v>89</v>
      </c>
    </row>
    <row r="10" spans="1:16" x14ac:dyDescent="0.25">
      <c r="B10" t="s">
        <v>288</v>
      </c>
      <c r="E10">
        <v>8</v>
      </c>
      <c r="G10">
        <v>300</v>
      </c>
      <c r="H10">
        <v>9</v>
      </c>
      <c r="I10" t="s">
        <v>157</v>
      </c>
      <c r="J10" t="s">
        <v>241</v>
      </c>
      <c r="K10" t="s">
        <v>95</v>
      </c>
    </row>
    <row r="11" spans="1:16" x14ac:dyDescent="0.25">
      <c r="G11">
        <v>301</v>
      </c>
      <c r="H11">
        <v>10</v>
      </c>
      <c r="I11" t="s">
        <v>191</v>
      </c>
      <c r="J11">
        <v>85</v>
      </c>
      <c r="K11" t="s">
        <v>95</v>
      </c>
    </row>
    <row r="15" spans="1:16" x14ac:dyDescent="0.25">
      <c r="E15" s="36"/>
    </row>
    <row r="25" spans="7:7" x14ac:dyDescent="0.25">
      <c r="G25" s="39"/>
    </row>
    <row r="26" spans="7:7" x14ac:dyDescent="0.25">
      <c r="G26" s="3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3"/>
  <sheetViews>
    <sheetView workbookViewId="0">
      <selection activeCell="D27" sqref="D27"/>
    </sheetView>
  </sheetViews>
  <sheetFormatPr defaultRowHeight="15" x14ac:dyDescent="0.25"/>
  <cols>
    <col min="1" max="1" width="14.5703125" customWidth="1"/>
    <col min="2" max="2" width="25.7109375" customWidth="1"/>
    <col min="3" max="3" width="16" bestFit="1" customWidth="1"/>
    <col min="4" max="4" width="25.7109375" customWidth="1"/>
    <col min="5" max="5" width="10.42578125" customWidth="1"/>
  </cols>
  <sheetData>
    <row r="1" spans="1:12" x14ac:dyDescent="0.25">
      <c r="A1" t="s">
        <v>0</v>
      </c>
      <c r="B1" t="s">
        <v>31</v>
      </c>
      <c r="C1" t="s">
        <v>48</v>
      </c>
      <c r="D1" t="e">
        <f ca="1">IF(B1="Winter",VLOOKUP(D7,'Weather Key'!H2:H919,1,FALSE),IF(B1="Spring",VLOOKUP(D7,'Weather Key'!J2:J919,1,FALSE),IF(B1="SUMMER",VLOOKUP(D7,'Weather Key'!L2:L919,1,FALSE),IF(B1="Fall",VLOOKUP(D7,'Weather Key'!N2:N919,1,FALSE),"ERROR"))))</f>
        <v>#N/A</v>
      </c>
    </row>
    <row r="2" spans="1:12" ht="15.75" thickBot="1" x14ac:dyDescent="0.3">
      <c r="A2" t="s">
        <v>1</v>
      </c>
      <c r="C2" s="1" t="s">
        <v>2</v>
      </c>
    </row>
    <row r="3" spans="1:12" x14ac:dyDescent="0.25">
      <c r="A3" s="2" t="s">
        <v>21</v>
      </c>
      <c r="B3" s="8" t="s">
        <v>50</v>
      </c>
      <c r="C3" s="3" t="s">
        <v>4</v>
      </c>
      <c r="D3" s="8" t="str">
        <f ca="1">VLOOKUP(WeatherOG!D9,Calculations!A14:B22,2)</f>
        <v>Fog</v>
      </c>
      <c r="L3" t="s">
        <v>55</v>
      </c>
    </row>
    <row r="4" spans="1:12" x14ac:dyDescent="0.25">
      <c r="A4" s="4" t="s">
        <v>10</v>
      </c>
      <c r="B4" s="9" t="s">
        <v>19</v>
      </c>
      <c r="C4" s="5" t="s">
        <v>10</v>
      </c>
      <c r="D4" s="9" t="s">
        <v>19</v>
      </c>
    </row>
    <row r="5" spans="1:12" x14ac:dyDescent="0.25">
      <c r="A5" s="4" t="s">
        <v>24</v>
      </c>
      <c r="B5" s="9" t="s">
        <v>28</v>
      </c>
      <c r="C5" s="13" t="s">
        <v>24</v>
      </c>
      <c r="D5" s="9" t="str">
        <f ca="1">VLOOKUP(WeatherOG!D10,Calculations!G14:H18,2)</f>
        <v>Easterly</v>
      </c>
    </row>
    <row r="6" spans="1:12" ht="15.75" thickBot="1" x14ac:dyDescent="0.3">
      <c r="A6" s="6" t="s">
        <v>11</v>
      </c>
      <c r="B6" s="10" t="s">
        <v>15</v>
      </c>
      <c r="C6" s="7" t="s">
        <v>11</v>
      </c>
      <c r="D6" s="10" t="str">
        <f ca="1">VLOOKUP(D8,Calculations!E14:F18,2)</f>
        <v>Storm</v>
      </c>
    </row>
    <row r="7" spans="1:12" x14ac:dyDescent="0.25">
      <c r="A7" s="12" t="s">
        <v>23</v>
      </c>
      <c r="B7">
        <f>SUM(B8:B11)</f>
        <v>5554</v>
      </c>
      <c r="C7" s="5"/>
      <c r="D7" s="33">
        <f ca="1">SUM(D8:D11)</f>
        <v>544</v>
      </c>
    </row>
    <row r="8" spans="1:12" x14ac:dyDescent="0.25">
      <c r="A8" s="12" t="s">
        <v>46</v>
      </c>
      <c r="B8">
        <f>VLOOKUP(B6,Calculations!E2:F6,2)</f>
        <v>4</v>
      </c>
      <c r="C8" s="14"/>
      <c r="D8" s="32">
        <f ca="1">Calculations!H40</f>
        <v>4</v>
      </c>
      <c r="K8" t="s">
        <v>56</v>
      </c>
    </row>
    <row r="9" spans="1:12" x14ac:dyDescent="0.25">
      <c r="A9" t="s">
        <v>21</v>
      </c>
      <c r="B9">
        <f>VLOOKUP(B3,Calculations!A2:B10,2)</f>
        <v>50</v>
      </c>
      <c r="D9" s="32">
        <f ca="1">Calculations!B44</f>
        <v>40</v>
      </c>
      <c r="K9">
        <f>IF(1&gt;0,1,0)</f>
        <v>1</v>
      </c>
    </row>
    <row r="10" spans="1:12" x14ac:dyDescent="0.25">
      <c r="A10" t="s">
        <v>24</v>
      </c>
      <c r="B10">
        <f>VLOOKUP(B5,Calculations!G2:H6,2)</f>
        <v>500</v>
      </c>
      <c r="D10" s="32">
        <f ca="1">Calculations!K40</f>
        <v>500</v>
      </c>
    </row>
    <row r="11" spans="1:12" x14ac:dyDescent="0.25">
      <c r="A11" t="s">
        <v>10</v>
      </c>
      <c r="B11">
        <f>VLOOKUP(B4,Calculations!C2:D7,2)</f>
        <v>5000</v>
      </c>
      <c r="C11" s="32"/>
      <c r="D11" s="32">
        <f ca="1">Calculations!E41</f>
        <v>0</v>
      </c>
    </row>
    <row r="13" spans="1:12" x14ac:dyDescent="0.25">
      <c r="B13">
        <v>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44"/>
  <sheetViews>
    <sheetView topLeftCell="A13" workbookViewId="0">
      <selection activeCell="B18" sqref="B18"/>
    </sheetView>
  </sheetViews>
  <sheetFormatPr defaultRowHeight="15" x14ac:dyDescent="0.25"/>
  <cols>
    <col min="1" max="1" width="25.5703125" bestFit="1" customWidth="1"/>
    <col min="2" max="2" width="25.140625" customWidth="1"/>
    <col min="3" max="4" width="14.85546875" bestFit="1" customWidth="1"/>
    <col min="5" max="6" width="9.7109375" bestFit="1" customWidth="1"/>
    <col min="7" max="8" width="14.5703125" bestFit="1" customWidth="1"/>
    <col min="10" max="10" width="14.7109375" customWidth="1"/>
  </cols>
  <sheetData>
    <row r="1" spans="1:8" x14ac:dyDescent="0.25">
      <c r="A1" s="1" t="s">
        <v>4</v>
      </c>
      <c r="B1" s="1" t="s">
        <v>23</v>
      </c>
      <c r="C1" s="1" t="s">
        <v>10</v>
      </c>
      <c r="D1" s="1" t="s">
        <v>23</v>
      </c>
      <c r="E1" s="1" t="s">
        <v>11</v>
      </c>
      <c r="F1" s="1" t="s">
        <v>23</v>
      </c>
      <c r="G1" s="1" t="s">
        <v>24</v>
      </c>
      <c r="H1" s="1" t="s">
        <v>23</v>
      </c>
    </row>
    <row r="2" spans="1:8" x14ac:dyDescent="0.25">
      <c r="A2" t="str">
        <f>B14</f>
        <v>Clear</v>
      </c>
      <c r="B2">
        <v>0</v>
      </c>
      <c r="C2" t="s">
        <v>20</v>
      </c>
      <c r="D2">
        <v>6000</v>
      </c>
      <c r="E2" t="s">
        <v>54</v>
      </c>
      <c r="F2">
        <v>1</v>
      </c>
      <c r="G2" t="s">
        <v>57</v>
      </c>
      <c r="H2">
        <v>500</v>
      </c>
    </row>
    <row r="3" spans="1:8" x14ac:dyDescent="0.25">
      <c r="A3" t="str">
        <f>B21</f>
        <v>Driving Hail/Blizzard(Sp)</v>
      </c>
      <c r="B3">
        <v>70</v>
      </c>
      <c r="C3" t="s">
        <v>19</v>
      </c>
      <c r="D3">
        <v>5000</v>
      </c>
      <c r="E3" t="s">
        <v>12</v>
      </c>
      <c r="F3">
        <v>0</v>
      </c>
      <c r="H3">
        <v>100</v>
      </c>
    </row>
    <row r="4" spans="1:8" x14ac:dyDescent="0.25">
      <c r="A4" t="str">
        <f>B18</f>
        <v>Fog</v>
      </c>
      <c r="B4">
        <v>40</v>
      </c>
      <c r="C4" t="s">
        <v>18</v>
      </c>
      <c r="D4">
        <v>4000</v>
      </c>
      <c r="E4" t="s">
        <v>14</v>
      </c>
      <c r="F4">
        <v>3</v>
      </c>
      <c r="G4" t="s">
        <v>58</v>
      </c>
      <c r="H4">
        <v>200</v>
      </c>
    </row>
    <row r="5" spans="1:8" x14ac:dyDescent="0.25">
      <c r="A5" t="str">
        <f>B20</f>
        <v>Hail/Snow(Sp)</v>
      </c>
      <c r="B5">
        <v>60</v>
      </c>
      <c r="C5" t="s">
        <v>16</v>
      </c>
      <c r="D5">
        <v>2000</v>
      </c>
      <c r="E5" t="s">
        <v>13</v>
      </c>
      <c r="F5">
        <v>2</v>
      </c>
      <c r="G5" t="s">
        <v>59</v>
      </c>
      <c r="H5">
        <v>400</v>
      </c>
    </row>
    <row r="6" spans="1:8" x14ac:dyDescent="0.25">
      <c r="A6" t="str">
        <f>B15</f>
        <v>Light Clouds</v>
      </c>
      <c r="B6">
        <v>10</v>
      </c>
      <c r="C6" t="s">
        <v>22</v>
      </c>
      <c r="D6">
        <v>1000</v>
      </c>
      <c r="E6" t="s">
        <v>15</v>
      </c>
      <c r="F6">
        <v>4</v>
      </c>
      <c r="G6" t="s">
        <v>60</v>
      </c>
      <c r="H6">
        <v>300</v>
      </c>
    </row>
    <row r="7" spans="1:8" x14ac:dyDescent="0.25">
      <c r="A7" t="str">
        <f>B16</f>
        <v>Overcast</v>
      </c>
      <c r="B7">
        <v>20</v>
      </c>
      <c r="C7" t="s">
        <v>17</v>
      </c>
      <c r="D7">
        <v>3000</v>
      </c>
    </row>
    <row r="8" spans="1:8" x14ac:dyDescent="0.25">
      <c r="A8" t="str">
        <f>B17</f>
        <v>Rain/Snow(W)</v>
      </c>
      <c r="B8">
        <v>30</v>
      </c>
    </row>
    <row r="9" spans="1:8" x14ac:dyDescent="0.25">
      <c r="A9" t="str">
        <f>B22</f>
        <v>Snow</v>
      </c>
      <c r="B9">
        <v>80</v>
      </c>
    </row>
    <row r="10" spans="1:8" x14ac:dyDescent="0.25">
      <c r="A10" t="str">
        <f>B19</f>
        <v>Torrential Rain/Blizzard(W)</v>
      </c>
      <c r="B10">
        <v>50</v>
      </c>
    </row>
    <row r="13" spans="1:8" x14ac:dyDescent="0.25">
      <c r="A13" s="1" t="s">
        <v>23</v>
      </c>
      <c r="B13" s="1" t="s">
        <v>4</v>
      </c>
      <c r="C13" s="1" t="s">
        <v>23</v>
      </c>
      <c r="D13" s="1" t="s">
        <v>10</v>
      </c>
      <c r="E13" s="1" t="s">
        <v>23</v>
      </c>
      <c r="F13" s="1" t="s">
        <v>11</v>
      </c>
      <c r="G13" s="1" t="s">
        <v>23</v>
      </c>
      <c r="H13" s="1" t="s">
        <v>24</v>
      </c>
    </row>
    <row r="14" spans="1:8" x14ac:dyDescent="0.25">
      <c r="A14">
        <v>0</v>
      </c>
      <c r="B14" t="s">
        <v>5</v>
      </c>
      <c r="C14">
        <v>1000</v>
      </c>
      <c r="D14" t="s">
        <v>22</v>
      </c>
      <c r="E14">
        <v>0</v>
      </c>
      <c r="F14" t="s">
        <v>12</v>
      </c>
      <c r="G14">
        <v>100</v>
      </c>
      <c r="H14" t="s">
        <v>61</v>
      </c>
    </row>
    <row r="15" spans="1:8" x14ac:dyDescent="0.25">
      <c r="A15">
        <v>10</v>
      </c>
      <c r="B15" t="s">
        <v>6</v>
      </c>
      <c r="C15">
        <v>2000</v>
      </c>
      <c r="D15" t="s">
        <v>16</v>
      </c>
      <c r="E15">
        <v>1</v>
      </c>
      <c r="F15" t="s">
        <v>54</v>
      </c>
      <c r="G15">
        <v>200</v>
      </c>
      <c r="H15" t="s">
        <v>25</v>
      </c>
    </row>
    <row r="16" spans="1:8" x14ac:dyDescent="0.25">
      <c r="A16">
        <v>20</v>
      </c>
      <c r="B16" t="s">
        <v>7</v>
      </c>
      <c r="C16">
        <v>3000</v>
      </c>
      <c r="D16" t="s">
        <v>17</v>
      </c>
      <c r="E16">
        <v>2</v>
      </c>
      <c r="F16" t="s">
        <v>13</v>
      </c>
      <c r="G16">
        <v>300</v>
      </c>
      <c r="H16" t="s">
        <v>26</v>
      </c>
    </row>
    <row r="17" spans="1:12" x14ac:dyDescent="0.25">
      <c r="A17">
        <v>30</v>
      </c>
      <c r="B17" t="s">
        <v>53</v>
      </c>
      <c r="C17">
        <v>4000</v>
      </c>
      <c r="D17" t="s">
        <v>18</v>
      </c>
      <c r="E17">
        <v>3</v>
      </c>
      <c r="F17" t="s">
        <v>14</v>
      </c>
      <c r="G17">
        <v>400</v>
      </c>
      <c r="H17" t="s">
        <v>27</v>
      </c>
    </row>
    <row r="18" spans="1:12" x14ac:dyDescent="0.25">
      <c r="A18">
        <v>40</v>
      </c>
      <c r="B18" t="s">
        <v>9</v>
      </c>
      <c r="C18">
        <v>5000</v>
      </c>
      <c r="D18" t="s">
        <v>19</v>
      </c>
      <c r="E18">
        <v>4</v>
      </c>
      <c r="F18" t="s">
        <v>15</v>
      </c>
      <c r="G18">
        <v>500</v>
      </c>
      <c r="H18" t="s">
        <v>28</v>
      </c>
    </row>
    <row r="19" spans="1:12" x14ac:dyDescent="0.25">
      <c r="A19">
        <v>50</v>
      </c>
      <c r="B19" t="s">
        <v>50</v>
      </c>
      <c r="C19">
        <v>6000</v>
      </c>
      <c r="D19" t="s">
        <v>20</v>
      </c>
      <c r="G19">
        <v>600</v>
      </c>
      <c r="H19" t="s">
        <v>62</v>
      </c>
    </row>
    <row r="20" spans="1:12" x14ac:dyDescent="0.25">
      <c r="A20">
        <v>60</v>
      </c>
      <c r="B20" t="s">
        <v>51</v>
      </c>
      <c r="G20">
        <v>700</v>
      </c>
      <c r="H20" t="s">
        <v>63</v>
      </c>
    </row>
    <row r="21" spans="1:12" x14ac:dyDescent="0.25">
      <c r="A21">
        <v>70</v>
      </c>
      <c r="B21" t="s">
        <v>52</v>
      </c>
      <c r="G21">
        <v>800</v>
      </c>
      <c r="H21" t="s">
        <v>64</v>
      </c>
    </row>
    <row r="22" spans="1:12" x14ac:dyDescent="0.25">
      <c r="A22">
        <v>80</v>
      </c>
      <c r="B22" t="s">
        <v>8</v>
      </c>
    </row>
    <row r="23" spans="1:12" ht="15.75" thickBot="1" x14ac:dyDescent="0.3"/>
    <row r="24" spans="1:12" ht="15.75" thickBot="1" x14ac:dyDescent="0.3">
      <c r="A24" s="26" t="s">
        <v>4</v>
      </c>
      <c r="B24" s="27"/>
      <c r="C24" s="28"/>
      <c r="D24" s="26" t="s">
        <v>10</v>
      </c>
      <c r="E24" s="27"/>
      <c r="F24" s="28"/>
      <c r="G24" s="26" t="s">
        <v>46</v>
      </c>
      <c r="H24" s="27"/>
      <c r="I24" s="28"/>
      <c r="J24" s="29" t="s">
        <v>24</v>
      </c>
      <c r="K24" s="30"/>
      <c r="L24" s="31"/>
    </row>
    <row r="25" spans="1:12" x14ac:dyDescent="0.25">
      <c r="A25" s="4" t="s">
        <v>39</v>
      </c>
      <c r="B25" s="11" t="s">
        <v>38</v>
      </c>
      <c r="C25" s="15"/>
      <c r="D25" s="4" t="s">
        <v>39</v>
      </c>
      <c r="E25" s="11" t="s">
        <v>38</v>
      </c>
      <c r="F25" s="15"/>
      <c r="G25" s="4" t="s">
        <v>39</v>
      </c>
      <c r="H25" s="11" t="s">
        <v>38</v>
      </c>
      <c r="I25" s="15"/>
      <c r="J25" s="18" t="s">
        <v>39</v>
      </c>
      <c r="K25" s="19" t="s">
        <v>38</v>
      </c>
      <c r="L25" s="20"/>
    </row>
    <row r="26" spans="1:12" x14ac:dyDescent="0.25">
      <c r="A26" s="4">
        <v>-1</v>
      </c>
      <c r="B26" s="11">
        <v>0.35</v>
      </c>
      <c r="C26" s="15"/>
      <c r="D26" s="4">
        <v>-1</v>
      </c>
      <c r="E26" s="11">
        <f ca="1">IF(K40=400,0.6,0.2)</f>
        <v>0.2</v>
      </c>
      <c r="F26" s="15"/>
      <c r="G26" s="4">
        <v>-1</v>
      </c>
      <c r="H26" s="11">
        <v>0.35</v>
      </c>
      <c r="I26" s="15"/>
      <c r="J26" s="21">
        <v>0</v>
      </c>
      <c r="K26" s="12">
        <v>0.7</v>
      </c>
      <c r="L26" s="22"/>
    </row>
    <row r="27" spans="1:12" x14ac:dyDescent="0.25">
      <c r="A27" s="4">
        <v>0</v>
      </c>
      <c r="B27" s="11">
        <v>0.65</v>
      </c>
      <c r="C27" s="15"/>
      <c r="D27" s="4">
        <v>0</v>
      </c>
      <c r="E27" s="11">
        <f ca="1">IF(K40=200,0.4,0.8)</f>
        <v>0.8</v>
      </c>
      <c r="F27" s="15"/>
      <c r="G27" s="4">
        <v>0</v>
      </c>
      <c r="H27" s="11">
        <v>0.65</v>
      </c>
      <c r="I27" s="15"/>
      <c r="J27" s="21">
        <v>1</v>
      </c>
      <c r="K27" s="12">
        <v>1</v>
      </c>
      <c r="L27" s="22"/>
    </row>
    <row r="28" spans="1:12" x14ac:dyDescent="0.25">
      <c r="A28" s="4">
        <v>1</v>
      </c>
      <c r="B28" s="11">
        <v>1</v>
      </c>
      <c r="C28" s="15"/>
      <c r="D28" s="4">
        <v>1</v>
      </c>
      <c r="E28" s="11">
        <v>1</v>
      </c>
      <c r="F28" s="15"/>
      <c r="G28" s="4">
        <v>1</v>
      </c>
      <c r="H28" s="11">
        <v>1</v>
      </c>
      <c r="I28" s="15"/>
      <c r="J28" s="21" t="s">
        <v>45</v>
      </c>
      <c r="K28" s="12">
        <f ca="1">RAND()</f>
        <v>0.45044796539887944</v>
      </c>
      <c r="L28" s="22"/>
    </row>
    <row r="29" spans="1:12" x14ac:dyDescent="0.25">
      <c r="A29" s="4" t="s">
        <v>45</v>
      </c>
      <c r="B29" s="11">
        <f ca="1">RAND()</f>
        <v>0.11092092070162607</v>
      </c>
      <c r="C29" s="15"/>
      <c r="D29" s="4" t="s">
        <v>45</v>
      </c>
      <c r="E29" s="11">
        <f ca="1">RAND()</f>
        <v>0.95698810520968369</v>
      </c>
      <c r="F29" s="15"/>
      <c r="G29" s="4" t="s">
        <v>45</v>
      </c>
      <c r="H29" s="11">
        <f ca="1">RAND()</f>
        <v>0.95651925578853181</v>
      </c>
      <c r="I29" s="15"/>
      <c r="J29" s="21" t="s">
        <v>41</v>
      </c>
      <c r="K29" s="12">
        <f ca="1">IF(K28&gt;K26,J27,J26)</f>
        <v>0</v>
      </c>
      <c r="L29" s="22"/>
    </row>
    <row r="30" spans="1:12" x14ac:dyDescent="0.25">
      <c r="A30" s="4" t="s">
        <v>41</v>
      </c>
      <c r="B30" s="11">
        <f ca="1">IF(B29=MEDIAN(0,B29,B26),A26,IF(B29=MEDIAN(B26,B29,B27),A27,IF(B29=MEDIAN(B27,B29,B28),A28,"ERROR")))</f>
        <v>-1</v>
      </c>
      <c r="C30" s="15"/>
      <c r="D30" s="4" t="s">
        <v>41</v>
      </c>
      <c r="E30" s="11">
        <f ca="1">IF(E29=MEDIAN(0,E29,E26),D26,IF(E29=MEDIAN(E26,E29,E27),D27,IF(E29=MEDIAN(E27,E29,E28),D28,"ERROR")))</f>
        <v>1</v>
      </c>
      <c r="F30" s="15"/>
      <c r="G30" s="4" t="s">
        <v>41</v>
      </c>
      <c r="H30" s="11">
        <f ca="1">IF(H29=MEDIAN(0,H29,H26),G26,IF(H29=MEDIAN(H26,H29,H27),G27,IF(H29=MEDIAN(H27,H29,H28),G28,"ERROR")))</f>
        <v>1</v>
      </c>
      <c r="I30" s="15"/>
      <c r="J30" s="21" t="s">
        <v>47</v>
      </c>
      <c r="K30" s="12">
        <f ca="1">IF(AND(K29=1,K32=500),-1,1)</f>
        <v>1</v>
      </c>
      <c r="L30" s="22"/>
    </row>
    <row r="31" spans="1:12" x14ac:dyDescent="0.25">
      <c r="A31" s="4"/>
      <c r="B31" s="11"/>
      <c r="C31" s="15"/>
      <c r="D31" s="4"/>
      <c r="E31" s="11"/>
      <c r="F31" s="15"/>
      <c r="G31" s="4"/>
      <c r="H31" s="11"/>
      <c r="I31" s="15"/>
      <c r="J31" s="21"/>
      <c r="K31" s="12"/>
      <c r="L31" s="22"/>
    </row>
    <row r="32" spans="1:12" x14ac:dyDescent="0.25">
      <c r="A32" s="4" t="s">
        <v>42</v>
      </c>
      <c r="B32" s="11">
        <f>WeatherOG!B9</f>
        <v>50</v>
      </c>
      <c r="C32" s="15"/>
      <c r="D32" s="4" t="s">
        <v>42</v>
      </c>
      <c r="E32" s="11">
        <v>6000</v>
      </c>
      <c r="F32" s="15"/>
      <c r="G32" s="4" t="s">
        <v>42</v>
      </c>
      <c r="H32" s="11">
        <v>1</v>
      </c>
      <c r="I32" s="15"/>
      <c r="J32" s="21" t="s">
        <v>42</v>
      </c>
      <c r="K32" s="12">
        <f>WeatherOG!B10</f>
        <v>500</v>
      </c>
      <c r="L32" s="22"/>
    </row>
    <row r="33" spans="1:12" x14ac:dyDescent="0.25">
      <c r="A33" s="4" t="s">
        <v>40</v>
      </c>
      <c r="B33" s="11"/>
      <c r="C33" s="15"/>
      <c r="D33" s="4" t="s">
        <v>40</v>
      </c>
      <c r="E33" s="11"/>
      <c r="F33" s="15"/>
      <c r="G33" s="4" t="s">
        <v>40</v>
      </c>
      <c r="H33" s="11"/>
      <c r="I33" s="15"/>
      <c r="J33" s="21" t="s">
        <v>40</v>
      </c>
      <c r="K33" s="12"/>
      <c r="L33" s="22"/>
    </row>
    <row r="34" spans="1:12" x14ac:dyDescent="0.25">
      <c r="A34" s="4">
        <v>1</v>
      </c>
      <c r="B34" s="11">
        <v>0.3</v>
      </c>
      <c r="C34" s="15">
        <f ca="1">IF($B$42=MEDIAN(0,$B$42,B34),1,0)</f>
        <v>1</v>
      </c>
      <c r="D34" s="4">
        <v>1</v>
      </c>
      <c r="E34" s="11">
        <v>0.85</v>
      </c>
      <c r="F34" s="15">
        <f ca="1">IF($E$39=MEDIAN(0,$E$39,E34),1,0)</f>
        <v>1</v>
      </c>
      <c r="G34" s="4">
        <v>1</v>
      </c>
      <c r="H34" s="11">
        <v>0.35</v>
      </c>
      <c r="I34" s="15">
        <f ca="1">IF($H$38=MEDIAN(0,H38,H34),1,0)</f>
        <v>0</v>
      </c>
      <c r="J34" s="21">
        <v>1</v>
      </c>
      <c r="K34" s="12">
        <v>0.45</v>
      </c>
      <c r="L34" s="22">
        <f ca="1">IF($K$37=MEDIAN(0,$K$37,K34),1,0)</f>
        <v>0</v>
      </c>
    </row>
    <row r="35" spans="1:12" x14ac:dyDescent="0.25">
      <c r="A35" s="4">
        <v>2</v>
      </c>
      <c r="B35" s="11">
        <v>0.55000000000000004</v>
      </c>
      <c r="C35" s="15">
        <f t="shared" ref="C35:C41" ca="1" si="0">IF($B$42=MEDIAN(B34,$B$42,B35),1,0)</f>
        <v>0</v>
      </c>
      <c r="D35" s="4">
        <v>2</v>
      </c>
      <c r="E35" s="11">
        <v>0.95</v>
      </c>
      <c r="F35" s="15">
        <f ca="1">IF($E$39=MEDIAN(E34,$E$39,E35),1,0)</f>
        <v>0</v>
      </c>
      <c r="G35" s="4">
        <v>2</v>
      </c>
      <c r="H35" s="11">
        <v>0.6</v>
      </c>
      <c r="I35" s="15">
        <f ca="1">IF($H$38=MEDIAN(H34,$H$38,H35),1,0)</f>
        <v>0</v>
      </c>
      <c r="J35" s="21">
        <v>2</v>
      </c>
      <c r="K35" s="12">
        <v>0.55000000000000004</v>
      </c>
      <c r="L35" s="22">
        <f ca="1">IF($K$37=MEDIAN(K34,$K$37,K35),1,0)</f>
        <v>0</v>
      </c>
    </row>
    <row r="36" spans="1:12" x14ac:dyDescent="0.25">
      <c r="A36" s="4">
        <v>3</v>
      </c>
      <c r="B36" s="11">
        <v>0.7</v>
      </c>
      <c r="C36" s="15">
        <f t="shared" ca="1" si="0"/>
        <v>0</v>
      </c>
      <c r="D36" s="4">
        <v>3</v>
      </c>
      <c r="E36" s="11">
        <v>0.99</v>
      </c>
      <c r="F36" s="15">
        <f t="shared" ref="F36:F37" ca="1" si="1">IF($E$39=MEDIAN(E35,$E$39,E36),1,0)</f>
        <v>0</v>
      </c>
      <c r="G36" s="4">
        <v>3</v>
      </c>
      <c r="H36" s="11">
        <v>0.85</v>
      </c>
      <c r="I36" s="15">
        <f ca="1">IF($H$38=MEDIAN(H35,$H$38,H36),1,0)</f>
        <v>1</v>
      </c>
      <c r="J36" s="21">
        <v>3</v>
      </c>
      <c r="K36" s="12">
        <v>1</v>
      </c>
      <c r="L36" s="22">
        <f ca="1">IF($K$37=MEDIAN(K35,$K$37,K36),1,0)</f>
        <v>1</v>
      </c>
    </row>
    <row r="37" spans="1:12" x14ac:dyDescent="0.25">
      <c r="A37" s="4">
        <v>4</v>
      </c>
      <c r="B37" s="11">
        <v>0.8</v>
      </c>
      <c r="C37" s="15">
        <f t="shared" ca="1" si="0"/>
        <v>0</v>
      </c>
      <c r="D37" s="4">
        <v>4</v>
      </c>
      <c r="E37" s="11">
        <v>1</v>
      </c>
      <c r="F37" s="15">
        <f t="shared" ca="1" si="1"/>
        <v>0</v>
      </c>
      <c r="G37" s="4">
        <v>4</v>
      </c>
      <c r="H37" s="11">
        <v>1</v>
      </c>
      <c r="I37" s="15">
        <f ca="1">IF($H$38=MEDIAN(H36,$H$38,H37),1,0)</f>
        <v>0</v>
      </c>
      <c r="J37" s="21" t="s">
        <v>44</v>
      </c>
      <c r="K37" s="12">
        <f ca="1">RAND()</f>
        <v>0.92007327034134634</v>
      </c>
      <c r="L37" s="22"/>
    </row>
    <row r="38" spans="1:12" x14ac:dyDescent="0.25">
      <c r="A38" s="4">
        <v>5</v>
      </c>
      <c r="B38" s="11">
        <v>0.85</v>
      </c>
      <c r="C38" s="15">
        <f t="shared" ca="1" si="0"/>
        <v>0</v>
      </c>
      <c r="D38" s="4">
        <v>5</v>
      </c>
      <c r="E38" s="11">
        <v>0</v>
      </c>
      <c r="F38" s="15">
        <v>0</v>
      </c>
      <c r="G38" s="4" t="s">
        <v>44</v>
      </c>
      <c r="H38" s="11">
        <f ca="1">RAND()</f>
        <v>0.74467419457981054</v>
      </c>
      <c r="I38" s="15"/>
      <c r="J38" s="21"/>
      <c r="K38" s="12"/>
      <c r="L38" s="22"/>
    </row>
    <row r="39" spans="1:12" ht="15.75" thickBot="1" x14ac:dyDescent="0.3">
      <c r="A39" s="4">
        <v>6</v>
      </c>
      <c r="B39" s="11">
        <v>0.9</v>
      </c>
      <c r="C39" s="15">
        <f t="shared" ca="1" si="0"/>
        <v>0</v>
      </c>
      <c r="D39" s="4" t="s">
        <v>44</v>
      </c>
      <c r="E39" s="11">
        <f ca="1">RAND()</f>
        <v>0.72432382526967387</v>
      </c>
      <c r="F39" s="15"/>
      <c r="G39" s="6" t="s">
        <v>49</v>
      </c>
      <c r="H39" s="16">
        <f ca="1">H30*(SUMPRODUCT(G34:G37,I34:I37))</f>
        <v>3</v>
      </c>
      <c r="I39" s="17"/>
      <c r="J39" s="23" t="s">
        <v>49</v>
      </c>
      <c r="K39" s="24">
        <f ca="1">K30*K29*(SUMPRODUCT(J34:J36,L34:L36))*100</f>
        <v>0</v>
      </c>
      <c r="L39" s="25"/>
    </row>
    <row r="40" spans="1:12" ht="15.75" thickBot="1" x14ac:dyDescent="0.3">
      <c r="A40" s="4">
        <v>7</v>
      </c>
      <c r="B40" s="11">
        <v>0.95</v>
      </c>
      <c r="C40" s="15">
        <f t="shared" ca="1" si="0"/>
        <v>0</v>
      </c>
      <c r="D40" s="6" t="s">
        <v>49</v>
      </c>
      <c r="E40" s="16">
        <f ca="1">1000*E30*(SUMPRODUCT(D34:D38,F34:F38))</f>
        <v>1000</v>
      </c>
      <c r="F40" s="17"/>
      <c r="G40" s="26" t="s">
        <v>43</v>
      </c>
      <c r="H40" s="35">
        <f ca="1">IF((H32+H39)&gt;=0,H32+H39,0)</f>
        <v>4</v>
      </c>
      <c r="I40" s="27"/>
      <c r="J40" s="26" t="s">
        <v>43</v>
      </c>
      <c r="K40" s="27">
        <f ca="1">IF(H40=0,100,K32+K39)</f>
        <v>500</v>
      </c>
      <c r="L40" s="31"/>
    </row>
    <row r="41" spans="1:12" ht="15.75" thickBot="1" x14ac:dyDescent="0.3">
      <c r="A41" s="4">
        <v>8</v>
      </c>
      <c r="B41" s="11">
        <v>1</v>
      </c>
      <c r="C41" s="15">
        <f t="shared" ca="1" si="0"/>
        <v>0</v>
      </c>
      <c r="D41" s="26" t="s">
        <v>43</v>
      </c>
      <c r="E41" s="35">
        <f ca="1">IF((E32+E40)&gt;0,IF((E32+E40)&lt;7000,E32+E40,0),0)</f>
        <v>0</v>
      </c>
      <c r="F41" s="28"/>
    </row>
    <row r="42" spans="1:12" x14ac:dyDescent="0.25">
      <c r="A42" s="4" t="s">
        <v>44</v>
      </c>
      <c r="B42" s="11">
        <f ca="1">RAND()</f>
        <v>0.1508173239445324</v>
      </c>
      <c r="C42" s="15"/>
    </row>
    <row r="43" spans="1:12" ht="15.75" thickBot="1" x14ac:dyDescent="0.3">
      <c r="A43" s="6" t="s">
        <v>49</v>
      </c>
      <c r="B43" s="16">
        <f ca="1">B30*(SUMPRODUCT(A34:A41,C34:C41))*10</f>
        <v>-10</v>
      </c>
      <c r="C43" s="17"/>
    </row>
    <row r="44" spans="1:12" ht="15.75" thickBot="1" x14ac:dyDescent="0.3">
      <c r="A44" s="26" t="s">
        <v>43</v>
      </c>
      <c r="B44" s="34">
        <f ca="1">IF((B32+B43)&gt;0,IF((B32+B43)&lt;90,B32+B43,0),0)</f>
        <v>40</v>
      </c>
      <c r="C44" s="28"/>
    </row>
  </sheetData>
  <sortState ref="A2:B10">
    <sortCondition ref="A2"/>
  </sortState>
  <pageMargins left="0.7" right="0.7" top="0.75" bottom="0.75" header="0.3" footer="0.3"/>
  <ignoredErrors>
    <ignoredError sqref="A9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AE52"/>
  <sheetViews>
    <sheetView topLeftCell="G10" workbookViewId="0">
      <selection activeCell="X19" sqref="X19"/>
    </sheetView>
  </sheetViews>
  <sheetFormatPr defaultRowHeight="15" x14ac:dyDescent="0.25"/>
  <sheetData>
    <row r="3" spans="3:27" x14ac:dyDescent="0.25">
      <c r="C3" t="s">
        <v>65</v>
      </c>
      <c r="Q3" t="s">
        <v>4</v>
      </c>
      <c r="R3" t="s">
        <v>11</v>
      </c>
      <c r="S3" t="s">
        <v>148</v>
      </c>
      <c r="V3" t="s">
        <v>0</v>
      </c>
      <c r="W3" t="s">
        <v>4</v>
      </c>
      <c r="X3" t="s">
        <v>11</v>
      </c>
      <c r="Y3" t="s">
        <v>148</v>
      </c>
      <c r="Z3" t="s">
        <v>236</v>
      </c>
    </row>
    <row r="4" spans="3:27" x14ac:dyDescent="0.25">
      <c r="O4">
        <v>1</v>
      </c>
      <c r="P4" t="s">
        <v>146</v>
      </c>
      <c r="R4" t="s">
        <v>171</v>
      </c>
      <c r="S4" t="s">
        <v>150</v>
      </c>
      <c r="T4">
        <v>-20</v>
      </c>
      <c r="U4">
        <v>1</v>
      </c>
      <c r="V4" t="s">
        <v>32</v>
      </c>
      <c r="Y4" t="s">
        <v>149</v>
      </c>
      <c r="Z4">
        <v>7</v>
      </c>
      <c r="AA4" t="s">
        <v>238</v>
      </c>
    </row>
    <row r="5" spans="3:27" x14ac:dyDescent="0.25">
      <c r="C5" t="s">
        <v>66</v>
      </c>
      <c r="D5" t="s">
        <v>69</v>
      </c>
      <c r="O5">
        <v>2</v>
      </c>
      <c r="P5" t="s">
        <v>77</v>
      </c>
      <c r="U5">
        <v>2</v>
      </c>
      <c r="V5" t="s">
        <v>3</v>
      </c>
      <c r="W5">
        <v>10</v>
      </c>
    </row>
    <row r="6" spans="3:27" x14ac:dyDescent="0.25">
      <c r="C6" t="s">
        <v>67</v>
      </c>
      <c r="D6" t="s">
        <v>70</v>
      </c>
      <c r="E6" t="s">
        <v>73</v>
      </c>
      <c r="F6" t="s">
        <v>74</v>
      </c>
      <c r="G6" t="s">
        <v>75</v>
      </c>
      <c r="H6" t="s">
        <v>72</v>
      </c>
      <c r="O6">
        <v>3</v>
      </c>
      <c r="P6" t="s">
        <v>147</v>
      </c>
      <c r="U6">
        <v>3</v>
      </c>
      <c r="V6" t="s">
        <v>33</v>
      </c>
    </row>
    <row r="7" spans="3:27" x14ac:dyDescent="0.25">
      <c r="C7" t="s">
        <v>68</v>
      </c>
      <c r="D7" t="s">
        <v>76</v>
      </c>
      <c r="E7" t="s">
        <v>77</v>
      </c>
      <c r="F7" t="s">
        <v>78</v>
      </c>
      <c r="G7" t="s">
        <v>79</v>
      </c>
      <c r="H7" t="s">
        <v>143</v>
      </c>
      <c r="I7" t="s">
        <v>144</v>
      </c>
      <c r="J7" t="s">
        <v>145</v>
      </c>
      <c r="O7">
        <v>4</v>
      </c>
      <c r="P7" t="s">
        <v>79</v>
      </c>
      <c r="S7" t="s">
        <v>151</v>
      </c>
      <c r="U7">
        <v>4</v>
      </c>
      <c r="V7" t="s">
        <v>31</v>
      </c>
      <c r="W7">
        <v>5</v>
      </c>
      <c r="Y7" t="s">
        <v>150</v>
      </c>
      <c r="Z7">
        <v>-7</v>
      </c>
      <c r="AA7" s="39" t="s">
        <v>239</v>
      </c>
    </row>
    <row r="8" spans="3:27" x14ac:dyDescent="0.25">
      <c r="C8" t="s">
        <v>1</v>
      </c>
      <c r="O8">
        <v>5</v>
      </c>
      <c r="P8" t="s">
        <v>143</v>
      </c>
      <c r="R8" t="s">
        <v>171</v>
      </c>
    </row>
    <row r="9" spans="3:27" x14ac:dyDescent="0.25">
      <c r="C9" t="s">
        <v>0</v>
      </c>
      <c r="D9" t="s">
        <v>32</v>
      </c>
      <c r="E9" t="s">
        <v>3</v>
      </c>
      <c r="F9" t="s">
        <v>31</v>
      </c>
      <c r="G9" t="s">
        <v>33</v>
      </c>
      <c r="O9">
        <v>6</v>
      </c>
      <c r="P9" t="s">
        <v>144</v>
      </c>
      <c r="Q9">
        <v>-20</v>
      </c>
      <c r="S9" t="s">
        <v>149</v>
      </c>
      <c r="T9">
        <v>10</v>
      </c>
    </row>
    <row r="10" spans="3:27" x14ac:dyDescent="0.25">
      <c r="C10" t="s">
        <v>141</v>
      </c>
      <c r="D10" t="s">
        <v>142</v>
      </c>
      <c r="O10">
        <v>7</v>
      </c>
      <c r="P10" t="s">
        <v>145</v>
      </c>
      <c r="Q10">
        <v>10</v>
      </c>
      <c r="V10" t="s">
        <v>67</v>
      </c>
      <c r="W10" t="s">
        <v>4</v>
      </c>
      <c r="X10" t="s">
        <v>11</v>
      </c>
      <c r="Y10" t="s">
        <v>148</v>
      </c>
      <c r="AA10" t="s">
        <v>237</v>
      </c>
    </row>
    <row r="11" spans="3:27" x14ac:dyDescent="0.25">
      <c r="U11">
        <v>1</v>
      </c>
      <c r="V11" t="s">
        <v>70</v>
      </c>
      <c r="Y11" t="s">
        <v>153</v>
      </c>
      <c r="Z11">
        <v>10</v>
      </c>
      <c r="AA11">
        <v>4</v>
      </c>
    </row>
    <row r="12" spans="3:27" x14ac:dyDescent="0.25">
      <c r="C12" t="s">
        <v>80</v>
      </c>
      <c r="U12">
        <v>2</v>
      </c>
      <c r="V12" t="s">
        <v>152</v>
      </c>
      <c r="Y12" t="s">
        <v>150</v>
      </c>
      <c r="Z12">
        <v>30</v>
      </c>
      <c r="AA12">
        <v>3</v>
      </c>
    </row>
    <row r="13" spans="3:27" x14ac:dyDescent="0.25">
      <c r="C13" t="s">
        <v>90</v>
      </c>
      <c r="D13" t="s">
        <v>180</v>
      </c>
      <c r="E13" s="36" t="s">
        <v>185</v>
      </c>
      <c r="F13" t="s">
        <v>184</v>
      </c>
      <c r="G13" t="s">
        <v>186</v>
      </c>
      <c r="H13" t="s">
        <v>187</v>
      </c>
      <c r="I13" t="s">
        <v>183</v>
      </c>
      <c r="J13" t="s">
        <v>182</v>
      </c>
      <c r="K13" t="s">
        <v>181</v>
      </c>
      <c r="U13">
        <v>3</v>
      </c>
      <c r="V13" t="s">
        <v>71</v>
      </c>
      <c r="Z13">
        <v>60</v>
      </c>
      <c r="AA13">
        <v>2</v>
      </c>
    </row>
    <row r="14" spans="3:27" x14ac:dyDescent="0.25">
      <c r="C14" t="s">
        <v>10</v>
      </c>
      <c r="D14" t="s">
        <v>87</v>
      </c>
      <c r="E14" t="s">
        <v>88</v>
      </c>
      <c r="F14" t="s">
        <v>19</v>
      </c>
      <c r="G14" t="s">
        <v>18</v>
      </c>
      <c r="H14" t="s">
        <v>71</v>
      </c>
      <c r="I14" t="s">
        <v>17</v>
      </c>
      <c r="J14" t="s">
        <v>16</v>
      </c>
      <c r="K14" t="s">
        <v>89</v>
      </c>
      <c r="U14">
        <v>4</v>
      </c>
      <c r="V14" t="s">
        <v>75</v>
      </c>
      <c r="W14">
        <v>-20</v>
      </c>
      <c r="Y14" t="s">
        <v>149</v>
      </c>
      <c r="Z14">
        <v>80</v>
      </c>
      <c r="AA14">
        <v>2</v>
      </c>
    </row>
    <row r="15" spans="3:27" x14ac:dyDescent="0.25">
      <c r="C15" t="s">
        <v>4</v>
      </c>
      <c r="D15" t="s">
        <v>5</v>
      </c>
      <c r="E15" t="s">
        <v>6</v>
      </c>
      <c r="F15" t="s">
        <v>7</v>
      </c>
      <c r="G15" t="s">
        <v>82</v>
      </c>
      <c r="H15" t="s">
        <v>83</v>
      </c>
      <c r="I15" t="s">
        <v>9</v>
      </c>
      <c r="J15" t="s">
        <v>85</v>
      </c>
      <c r="K15" t="s">
        <v>109</v>
      </c>
      <c r="U15">
        <v>5</v>
      </c>
      <c r="V15" t="s">
        <v>72</v>
      </c>
      <c r="W15">
        <v>10</v>
      </c>
      <c r="Y15" t="s">
        <v>149</v>
      </c>
      <c r="Z15">
        <v>80</v>
      </c>
      <c r="AA15">
        <v>1</v>
      </c>
    </row>
    <row r="16" spans="3:27" x14ac:dyDescent="0.25">
      <c r="C16" t="s">
        <v>11</v>
      </c>
      <c r="D16" t="s">
        <v>30</v>
      </c>
      <c r="E16" t="s">
        <v>54</v>
      </c>
      <c r="F16" t="s">
        <v>13</v>
      </c>
      <c r="G16" t="s">
        <v>81</v>
      </c>
      <c r="H16" t="s">
        <v>14</v>
      </c>
      <c r="I16" t="s">
        <v>126</v>
      </c>
      <c r="J16" t="s">
        <v>130</v>
      </c>
      <c r="K16" t="s">
        <v>15</v>
      </c>
      <c r="L16" t="s">
        <v>135</v>
      </c>
    </row>
    <row r="17" spans="2:29" x14ac:dyDescent="0.25">
      <c r="C17" t="s">
        <v>116</v>
      </c>
      <c r="D17">
        <v>0</v>
      </c>
      <c r="E17" s="37" t="s">
        <v>117</v>
      </c>
      <c r="F17" s="39" t="s">
        <v>118</v>
      </c>
      <c r="G17" s="39" t="s">
        <v>123</v>
      </c>
      <c r="H17" s="39" t="s">
        <v>127</v>
      </c>
      <c r="I17" t="s">
        <v>128</v>
      </c>
      <c r="J17" t="s">
        <v>131</v>
      </c>
      <c r="K17" t="s">
        <v>133</v>
      </c>
      <c r="L17" t="s">
        <v>136</v>
      </c>
    </row>
    <row r="18" spans="2:29" x14ac:dyDescent="0.25">
      <c r="C18" t="s">
        <v>119</v>
      </c>
      <c r="D18" t="s">
        <v>120</v>
      </c>
      <c r="E18" t="s">
        <v>121</v>
      </c>
      <c r="F18" t="s">
        <v>122</v>
      </c>
      <c r="G18" t="s">
        <v>124</v>
      </c>
      <c r="H18" t="s">
        <v>125</v>
      </c>
      <c r="I18" t="s">
        <v>261</v>
      </c>
      <c r="J18" t="s">
        <v>132</v>
      </c>
      <c r="K18" t="s">
        <v>134</v>
      </c>
      <c r="L18" t="s">
        <v>95</v>
      </c>
    </row>
    <row r="19" spans="2:29" x14ac:dyDescent="0.25">
      <c r="T19">
        <v>1</v>
      </c>
      <c r="U19">
        <v>2</v>
      </c>
      <c r="V19">
        <v>3</v>
      </c>
      <c r="W19">
        <v>4</v>
      </c>
      <c r="X19">
        <v>5</v>
      </c>
      <c r="Y19">
        <v>6</v>
      </c>
      <c r="Z19">
        <v>7</v>
      </c>
      <c r="AA19">
        <v>8</v>
      </c>
      <c r="AB19">
        <v>9</v>
      </c>
      <c r="AC19">
        <v>10</v>
      </c>
    </row>
    <row r="20" spans="2:29" x14ac:dyDescent="0.25">
      <c r="C20" t="s">
        <v>24</v>
      </c>
      <c r="D20" t="s">
        <v>58</v>
      </c>
      <c r="E20" t="s">
        <v>61</v>
      </c>
      <c r="F20" t="s">
        <v>57</v>
      </c>
      <c r="G20" t="s">
        <v>63</v>
      </c>
      <c r="H20" t="s">
        <v>59</v>
      </c>
      <c r="I20" t="s">
        <v>64</v>
      </c>
      <c r="J20" t="s">
        <v>60</v>
      </c>
      <c r="K20" t="s">
        <v>62</v>
      </c>
      <c r="L20" t="s">
        <v>140</v>
      </c>
      <c r="S20" t="s">
        <v>169</v>
      </c>
      <c r="T20">
        <v>1</v>
      </c>
      <c r="U20">
        <v>93</v>
      </c>
      <c r="V20">
        <v>185</v>
      </c>
      <c r="W20">
        <v>258</v>
      </c>
      <c r="X20">
        <v>290</v>
      </c>
      <c r="Y20">
        <v>295</v>
      </c>
      <c r="Z20">
        <v>297</v>
      </c>
      <c r="AA20">
        <v>299</v>
      </c>
      <c r="AB20">
        <v>300</v>
      </c>
      <c r="AC20" t="s">
        <v>190</v>
      </c>
    </row>
    <row r="21" spans="2:29" x14ac:dyDescent="0.25">
      <c r="C21" t="s">
        <v>114</v>
      </c>
      <c r="D21" t="s">
        <v>115</v>
      </c>
      <c r="Q21" t="s">
        <v>165</v>
      </c>
      <c r="R21" t="s">
        <v>170</v>
      </c>
      <c r="T21" t="s">
        <v>30</v>
      </c>
      <c r="U21" t="s">
        <v>54</v>
      </c>
      <c r="V21" t="s">
        <v>13</v>
      </c>
      <c r="W21" t="s">
        <v>81</v>
      </c>
      <c r="X21" t="s">
        <v>14</v>
      </c>
      <c r="Y21" t="s">
        <v>126</v>
      </c>
      <c r="Z21" t="s">
        <v>130</v>
      </c>
      <c r="AA21" t="s">
        <v>15</v>
      </c>
      <c r="AB21" t="s">
        <v>157</v>
      </c>
      <c r="AC21" t="s">
        <v>191</v>
      </c>
    </row>
    <row r="22" spans="2:29" x14ac:dyDescent="0.25">
      <c r="E22" t="s">
        <v>113</v>
      </c>
      <c r="R22">
        <v>1</v>
      </c>
      <c r="S22" t="s">
        <v>5</v>
      </c>
      <c r="Y22" t="s">
        <v>264</v>
      </c>
      <c r="Z22" t="s">
        <v>162</v>
      </c>
      <c r="AB22" t="s">
        <v>161</v>
      </c>
      <c r="AC22" t="s">
        <v>161</v>
      </c>
    </row>
    <row r="23" spans="2:29" x14ac:dyDescent="0.25">
      <c r="R23">
        <v>21</v>
      </c>
      <c r="S23" t="s">
        <v>154</v>
      </c>
      <c r="Y23" t="s">
        <v>264</v>
      </c>
      <c r="Z23" t="s">
        <v>162</v>
      </c>
      <c r="AB23" t="s">
        <v>161</v>
      </c>
      <c r="AC23" t="s">
        <v>161</v>
      </c>
    </row>
    <row r="24" spans="2:29" x14ac:dyDescent="0.25">
      <c r="C24" t="s">
        <v>84</v>
      </c>
      <c r="R24">
        <v>31</v>
      </c>
      <c r="S24" t="s">
        <v>9</v>
      </c>
      <c r="T24" t="s">
        <v>158</v>
      </c>
      <c r="U24" t="s">
        <v>159</v>
      </c>
      <c r="V24" t="s">
        <v>213</v>
      </c>
      <c r="W24" t="s">
        <v>154</v>
      </c>
      <c r="X24" t="s">
        <v>154</v>
      </c>
      <c r="Y24" t="s">
        <v>264</v>
      </c>
      <c r="Z24" t="s">
        <v>162</v>
      </c>
      <c r="AB24" t="s">
        <v>161</v>
      </c>
      <c r="AC24" t="s">
        <v>161</v>
      </c>
    </row>
    <row r="25" spans="2:29" x14ac:dyDescent="0.25">
      <c r="C25" t="s">
        <v>91</v>
      </c>
      <c r="R25">
        <v>41</v>
      </c>
      <c r="S25" t="s">
        <v>7</v>
      </c>
      <c r="Y25" t="s">
        <v>264</v>
      </c>
      <c r="Z25" t="s">
        <v>162</v>
      </c>
      <c r="AB25" t="s">
        <v>161</v>
      </c>
      <c r="AC25" t="s">
        <v>161</v>
      </c>
    </row>
    <row r="26" spans="2:29" x14ac:dyDescent="0.25">
      <c r="C26" t="s">
        <v>96</v>
      </c>
      <c r="R26" s="39">
        <v>61</v>
      </c>
      <c r="S26" t="s">
        <v>155</v>
      </c>
      <c r="W26" t="s">
        <v>15</v>
      </c>
      <c r="X26" t="s">
        <v>15</v>
      </c>
      <c r="Y26" t="s">
        <v>162</v>
      </c>
      <c r="Z26" t="s">
        <v>162</v>
      </c>
      <c r="AA26" t="s">
        <v>162</v>
      </c>
      <c r="AB26" t="s">
        <v>161</v>
      </c>
      <c r="AC26" t="s">
        <v>161</v>
      </c>
    </row>
    <row r="27" spans="2:29" x14ac:dyDescent="0.25">
      <c r="C27" t="s">
        <v>86</v>
      </c>
      <c r="R27" s="39">
        <v>91</v>
      </c>
      <c r="S27" t="s">
        <v>156</v>
      </c>
      <c r="W27" t="s">
        <v>15</v>
      </c>
      <c r="X27" t="s">
        <v>15</v>
      </c>
      <c r="Y27" t="s">
        <v>162</v>
      </c>
      <c r="Z27" t="s">
        <v>162</v>
      </c>
      <c r="AA27" t="s">
        <v>161</v>
      </c>
      <c r="AB27" t="s">
        <v>161</v>
      </c>
      <c r="AC27" t="s">
        <v>161</v>
      </c>
    </row>
    <row r="29" spans="2:29" x14ac:dyDescent="0.25">
      <c r="B29" t="s">
        <v>112</v>
      </c>
      <c r="C29" t="s">
        <v>92</v>
      </c>
      <c r="R29" t="s">
        <v>210</v>
      </c>
      <c r="S29">
        <v>1</v>
      </c>
      <c r="T29">
        <v>2</v>
      </c>
      <c r="U29">
        <v>3</v>
      </c>
    </row>
    <row r="30" spans="2:29" x14ac:dyDescent="0.25">
      <c r="C30" t="s">
        <v>93</v>
      </c>
      <c r="D30" t="s">
        <v>108</v>
      </c>
      <c r="E30" t="s">
        <v>94</v>
      </c>
      <c r="F30" t="s">
        <v>95</v>
      </c>
      <c r="G30" t="s">
        <v>107</v>
      </c>
      <c r="H30" t="s">
        <v>110</v>
      </c>
      <c r="R30" t="s">
        <v>167</v>
      </c>
      <c r="S30" t="s">
        <v>15</v>
      </c>
      <c r="T30" t="s">
        <v>162</v>
      </c>
      <c r="U30" t="s">
        <v>161</v>
      </c>
      <c r="X30" t="s">
        <v>194</v>
      </c>
    </row>
    <row r="31" spans="2:29" x14ac:dyDescent="0.25">
      <c r="D31">
        <v>1</v>
      </c>
      <c r="E31">
        <v>2</v>
      </c>
      <c r="F31">
        <v>3</v>
      </c>
      <c r="G31">
        <v>4</v>
      </c>
      <c r="H31">
        <v>5</v>
      </c>
      <c r="S31" t="s">
        <v>160</v>
      </c>
      <c r="T31" t="s">
        <v>163</v>
      </c>
      <c r="U31" t="s">
        <v>206</v>
      </c>
    </row>
    <row r="32" spans="2:29" x14ac:dyDescent="0.25">
      <c r="C32" s="38" t="s">
        <v>111</v>
      </c>
      <c r="S32" t="s">
        <v>166</v>
      </c>
      <c r="T32" t="s">
        <v>263</v>
      </c>
    </row>
    <row r="33" spans="3:31" x14ac:dyDescent="0.25">
      <c r="S33" t="s">
        <v>262</v>
      </c>
      <c r="T33" t="s">
        <v>260</v>
      </c>
      <c r="U33" t="s">
        <v>139</v>
      </c>
    </row>
    <row r="34" spans="3:31" x14ac:dyDescent="0.25">
      <c r="S34" t="s">
        <v>264</v>
      </c>
      <c r="T34" t="s">
        <v>164</v>
      </c>
      <c r="U34" t="s">
        <v>168</v>
      </c>
    </row>
    <row r="35" spans="3:31" x14ac:dyDescent="0.25">
      <c r="C35" t="s">
        <v>97</v>
      </c>
      <c r="T35" t="s">
        <v>259</v>
      </c>
      <c r="AC35" t="s">
        <v>271</v>
      </c>
      <c r="AD35" t="s">
        <v>272</v>
      </c>
      <c r="AE35" t="s">
        <v>278</v>
      </c>
    </row>
    <row r="36" spans="3:31" x14ac:dyDescent="0.25">
      <c r="C36" t="s">
        <v>98</v>
      </c>
      <c r="D36" t="s">
        <v>99</v>
      </c>
      <c r="E36" t="s">
        <v>100</v>
      </c>
      <c r="AC36" t="s">
        <v>273</v>
      </c>
      <c r="AD36" t="s">
        <v>276</v>
      </c>
      <c r="AE36" t="s">
        <v>279</v>
      </c>
    </row>
    <row r="37" spans="3:31" x14ac:dyDescent="0.25">
      <c r="C37" t="s">
        <v>13</v>
      </c>
      <c r="D37" t="s">
        <v>102</v>
      </c>
      <c r="E37" t="s">
        <v>101</v>
      </c>
      <c r="M37" t="s">
        <v>222</v>
      </c>
      <c r="N37" t="s">
        <v>188</v>
      </c>
      <c r="Q37" t="s">
        <v>221</v>
      </c>
      <c r="V37" t="s">
        <v>221</v>
      </c>
      <c r="X37" t="s">
        <v>210</v>
      </c>
      <c r="Y37">
        <v>1</v>
      </c>
      <c r="Z37">
        <v>2</v>
      </c>
      <c r="AA37">
        <v>3</v>
      </c>
      <c r="AC37" t="s">
        <v>274</v>
      </c>
      <c r="AD37" t="s">
        <v>277</v>
      </c>
      <c r="AE37" t="s">
        <v>280</v>
      </c>
    </row>
    <row r="38" spans="3:31" x14ac:dyDescent="0.25">
      <c r="C38" t="s">
        <v>81</v>
      </c>
      <c r="D38" t="s">
        <v>103</v>
      </c>
      <c r="E38" t="s">
        <v>103</v>
      </c>
      <c r="L38" s="41" t="s">
        <v>196</v>
      </c>
      <c r="M38" s="41"/>
      <c r="N38" s="41"/>
      <c r="O38" s="41" t="s">
        <v>189</v>
      </c>
      <c r="P38" s="41"/>
      <c r="Q38" s="41"/>
      <c r="R38" s="41"/>
      <c r="S38" s="41"/>
      <c r="T38" s="41"/>
      <c r="U38" s="41" t="s">
        <v>198</v>
      </c>
      <c r="V38" s="41"/>
      <c r="W38" s="41"/>
      <c r="X38" s="41"/>
      <c r="Z38">
        <v>2</v>
      </c>
      <c r="AA38">
        <v>3</v>
      </c>
      <c r="AC38" t="s">
        <v>275</v>
      </c>
      <c r="AD38" t="s">
        <v>268</v>
      </c>
      <c r="AE38" t="s">
        <v>281</v>
      </c>
    </row>
    <row r="39" spans="3:31" x14ac:dyDescent="0.25">
      <c r="C39" t="s">
        <v>14</v>
      </c>
      <c r="D39" t="s">
        <v>104</v>
      </c>
      <c r="L39" s="41" t="s">
        <v>160</v>
      </c>
      <c r="M39" s="41"/>
      <c r="N39" s="41"/>
      <c r="O39" s="41" t="s">
        <v>192</v>
      </c>
      <c r="P39" s="41"/>
      <c r="Q39" s="41"/>
      <c r="R39" s="41"/>
      <c r="S39" s="41"/>
      <c r="T39" s="41"/>
      <c r="U39" s="41" t="s">
        <v>199</v>
      </c>
      <c r="V39" s="41"/>
      <c r="W39" s="41"/>
      <c r="X39" s="41"/>
      <c r="Y39">
        <v>1</v>
      </c>
      <c r="Z39">
        <v>2</v>
      </c>
      <c r="AA39">
        <v>3</v>
      </c>
      <c r="AE39" t="s">
        <v>283</v>
      </c>
    </row>
    <row r="40" spans="3:31" x14ac:dyDescent="0.25">
      <c r="L40" s="41" t="s">
        <v>166</v>
      </c>
      <c r="M40" s="41"/>
      <c r="N40" s="41"/>
      <c r="O40" s="41" t="s">
        <v>193</v>
      </c>
      <c r="P40" s="41"/>
      <c r="Q40" s="41"/>
      <c r="R40" s="41"/>
      <c r="S40" s="41"/>
      <c r="T40" s="41"/>
      <c r="U40" s="41" t="s">
        <v>214</v>
      </c>
      <c r="V40" s="41"/>
      <c r="W40" s="41"/>
      <c r="X40" s="41"/>
      <c r="Y40">
        <v>1</v>
      </c>
      <c r="Z40">
        <v>2</v>
      </c>
      <c r="AA40">
        <v>3</v>
      </c>
      <c r="AE40" t="s">
        <v>284</v>
      </c>
    </row>
    <row r="41" spans="3:31" x14ac:dyDescent="0.25">
      <c r="L41" s="41" t="s">
        <v>195</v>
      </c>
      <c r="M41" s="41"/>
      <c r="N41" s="41"/>
      <c r="O41" s="41" t="s">
        <v>201</v>
      </c>
      <c r="P41" s="41"/>
      <c r="Q41" s="41"/>
      <c r="R41" s="41"/>
      <c r="S41" s="41"/>
      <c r="T41" s="41"/>
      <c r="U41" s="41" t="s">
        <v>200</v>
      </c>
      <c r="V41" s="41"/>
      <c r="W41" s="41"/>
      <c r="X41" s="41"/>
      <c r="Y41" t="s">
        <v>211</v>
      </c>
      <c r="AC41" t="s">
        <v>285</v>
      </c>
    </row>
    <row r="42" spans="3:31" x14ac:dyDescent="0.25">
      <c r="C42" t="s">
        <v>105</v>
      </c>
      <c r="D42" t="s">
        <v>106</v>
      </c>
      <c r="L42" s="41" t="s">
        <v>197</v>
      </c>
      <c r="M42" s="41"/>
      <c r="N42" s="41"/>
      <c r="O42" s="41" t="s">
        <v>203</v>
      </c>
      <c r="P42" s="41"/>
      <c r="Q42" s="41"/>
      <c r="R42" s="41"/>
      <c r="S42" s="41"/>
      <c r="T42" s="41"/>
      <c r="U42" s="41" t="s">
        <v>216</v>
      </c>
      <c r="V42" s="41"/>
      <c r="W42" s="41"/>
      <c r="X42" s="41"/>
      <c r="Z42">
        <v>2</v>
      </c>
      <c r="AA42" t="s">
        <v>212</v>
      </c>
      <c r="AC42" t="s">
        <v>286</v>
      </c>
    </row>
    <row r="43" spans="3:31" x14ac:dyDescent="0.25">
      <c r="D43" t="s">
        <v>138</v>
      </c>
      <c r="L43" s="41" t="s">
        <v>202</v>
      </c>
      <c r="M43" s="41"/>
      <c r="N43" s="41"/>
      <c r="O43" s="41" t="s">
        <v>208</v>
      </c>
      <c r="P43" s="41"/>
      <c r="Q43" s="41"/>
      <c r="R43" s="41"/>
      <c r="S43" s="41"/>
      <c r="T43" s="41"/>
      <c r="U43" s="41" t="s">
        <v>209</v>
      </c>
      <c r="V43" s="41"/>
      <c r="W43" s="41"/>
      <c r="X43" s="41"/>
      <c r="Z43">
        <v>2</v>
      </c>
      <c r="AA43">
        <v>3</v>
      </c>
      <c r="AC43" t="s">
        <v>281</v>
      </c>
    </row>
    <row r="44" spans="3:31" x14ac:dyDescent="0.25">
      <c r="D44" t="s">
        <v>137</v>
      </c>
      <c r="L44" s="41" t="s">
        <v>204</v>
      </c>
      <c r="M44" s="41"/>
      <c r="N44" s="41"/>
      <c r="O44" s="41" t="s">
        <v>226</v>
      </c>
      <c r="P44" s="41"/>
      <c r="Q44" s="41"/>
      <c r="R44" s="41"/>
      <c r="S44" s="41"/>
      <c r="T44" s="41"/>
      <c r="U44" s="41" t="s">
        <v>217</v>
      </c>
      <c r="V44" s="41"/>
      <c r="W44" s="41"/>
      <c r="X44" s="41"/>
      <c r="AA44">
        <v>3</v>
      </c>
      <c r="AC44" t="s">
        <v>282</v>
      </c>
    </row>
    <row r="45" spans="3:31" x14ac:dyDescent="0.25">
      <c r="L45" s="41" t="s">
        <v>205</v>
      </c>
      <c r="M45" s="41"/>
      <c r="N45" s="41"/>
      <c r="O45" s="41" t="s">
        <v>224</v>
      </c>
      <c r="P45" s="41"/>
      <c r="Q45" s="41"/>
      <c r="R45" s="41"/>
      <c r="S45" s="41"/>
      <c r="T45" s="41"/>
      <c r="U45" s="41" t="s">
        <v>218</v>
      </c>
      <c r="V45" s="41"/>
      <c r="W45" s="41"/>
      <c r="X45" s="41"/>
      <c r="Z45">
        <v>2</v>
      </c>
      <c r="AA45" t="s">
        <v>225</v>
      </c>
      <c r="AC45" t="s">
        <v>287</v>
      </c>
    </row>
    <row r="46" spans="3:31" x14ac:dyDescent="0.25">
      <c r="L46" s="41" t="s">
        <v>206</v>
      </c>
      <c r="M46" s="41"/>
      <c r="N46" s="41"/>
      <c r="O46" s="41" t="s">
        <v>227</v>
      </c>
      <c r="P46" s="41"/>
      <c r="Q46" s="41"/>
      <c r="R46" s="41"/>
      <c r="S46" s="41"/>
      <c r="T46" s="41"/>
      <c r="U46" s="41" t="s">
        <v>223</v>
      </c>
      <c r="V46" s="41"/>
      <c r="W46" s="41"/>
      <c r="X46" s="41"/>
      <c r="AA46">
        <v>3</v>
      </c>
      <c r="AC46" t="s">
        <v>284</v>
      </c>
    </row>
    <row r="47" spans="3:31" x14ac:dyDescent="0.25">
      <c r="L47" s="41" t="s">
        <v>207</v>
      </c>
      <c r="M47" s="41"/>
      <c r="N47" s="41"/>
      <c r="O47" s="41" t="s">
        <v>228</v>
      </c>
      <c r="P47" s="41"/>
      <c r="Q47" s="41"/>
      <c r="R47" s="41"/>
      <c r="S47" s="41"/>
      <c r="T47" s="41"/>
      <c r="U47" s="41" t="s">
        <v>229</v>
      </c>
      <c r="V47" s="41"/>
      <c r="W47" s="41"/>
      <c r="X47" s="41"/>
      <c r="AA47">
        <v>3</v>
      </c>
    </row>
    <row r="48" spans="3:31" x14ac:dyDescent="0.25">
      <c r="L48" s="41" t="s">
        <v>94</v>
      </c>
      <c r="M48" s="41"/>
      <c r="N48" s="41"/>
      <c r="O48" s="41" t="s">
        <v>220</v>
      </c>
      <c r="P48" s="41"/>
      <c r="Q48" s="41"/>
      <c r="R48" s="41"/>
      <c r="S48" s="41"/>
      <c r="T48" s="41"/>
      <c r="U48" s="41" t="s">
        <v>219</v>
      </c>
      <c r="V48" s="41"/>
      <c r="W48" s="41"/>
      <c r="X48" s="41"/>
      <c r="AA48">
        <v>3</v>
      </c>
    </row>
    <row r="49" spans="12:27" x14ac:dyDescent="0.25">
      <c r="L49" s="41" t="s">
        <v>233</v>
      </c>
      <c r="M49" s="41"/>
      <c r="N49" s="41"/>
      <c r="O49" s="41" t="s">
        <v>234</v>
      </c>
      <c r="P49" s="41"/>
      <c r="Q49" s="41"/>
      <c r="R49" s="41"/>
      <c r="S49" s="41"/>
      <c r="T49" s="41"/>
      <c r="U49" s="41" t="s">
        <v>235</v>
      </c>
      <c r="V49" s="41"/>
      <c r="W49" s="41"/>
      <c r="X49" s="41"/>
      <c r="Y49" t="s">
        <v>270</v>
      </c>
    </row>
    <row r="50" spans="12:27" x14ac:dyDescent="0.25">
      <c r="L50" s="41" t="s">
        <v>230</v>
      </c>
      <c r="M50" s="41"/>
      <c r="N50" s="41"/>
      <c r="O50" s="41" t="s">
        <v>231</v>
      </c>
      <c r="P50" s="41"/>
      <c r="Q50" s="41"/>
      <c r="R50" s="41"/>
      <c r="S50" s="41"/>
      <c r="T50" s="41"/>
      <c r="U50" s="41" t="s">
        <v>232</v>
      </c>
      <c r="V50" s="41"/>
      <c r="W50" s="41"/>
      <c r="X50" s="41"/>
      <c r="AA50">
        <v>3</v>
      </c>
    </row>
    <row r="51" spans="12:27" x14ac:dyDescent="0.25">
      <c r="L51" s="41" t="s">
        <v>264</v>
      </c>
      <c r="M51" s="41"/>
      <c r="N51" s="41"/>
      <c r="O51" s="41" t="s">
        <v>266</v>
      </c>
      <c r="P51" s="41"/>
      <c r="Q51" s="41"/>
      <c r="R51" s="41"/>
      <c r="S51" s="41"/>
      <c r="T51" s="41"/>
      <c r="U51" s="41" t="s">
        <v>267</v>
      </c>
      <c r="V51" s="41"/>
      <c r="W51" s="41"/>
      <c r="X51" s="41"/>
      <c r="Y51">
        <v>1</v>
      </c>
      <c r="Z51">
        <v>2</v>
      </c>
      <c r="AA51">
        <v>3</v>
      </c>
    </row>
    <row r="52" spans="12:27" x14ac:dyDescent="0.25"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</row>
  </sheetData>
  <mergeCells count="42">
    <mergeCell ref="L51:N51"/>
    <mergeCell ref="O51:T51"/>
    <mergeCell ref="U51:X51"/>
    <mergeCell ref="U42:X42"/>
    <mergeCell ref="O43:T43"/>
    <mergeCell ref="L43:N43"/>
    <mergeCell ref="U43:X43"/>
    <mergeCell ref="L42:N42"/>
    <mergeCell ref="U44:X44"/>
    <mergeCell ref="L44:N44"/>
    <mergeCell ref="O44:T44"/>
    <mergeCell ref="L38:N38"/>
    <mergeCell ref="L39:N39"/>
    <mergeCell ref="L40:N40"/>
    <mergeCell ref="L41:N41"/>
    <mergeCell ref="O41:T41"/>
    <mergeCell ref="O38:T38"/>
    <mergeCell ref="O39:T39"/>
    <mergeCell ref="O40:T40"/>
    <mergeCell ref="O42:T42"/>
    <mergeCell ref="U38:X38"/>
    <mergeCell ref="U40:X40"/>
    <mergeCell ref="U39:X39"/>
    <mergeCell ref="U41:X41"/>
    <mergeCell ref="O47:T47"/>
    <mergeCell ref="O46:T46"/>
    <mergeCell ref="O45:T45"/>
    <mergeCell ref="L47:N47"/>
    <mergeCell ref="L46:N46"/>
    <mergeCell ref="L45:N45"/>
    <mergeCell ref="U48:X48"/>
    <mergeCell ref="O48:T48"/>
    <mergeCell ref="L48:N48"/>
    <mergeCell ref="U47:X47"/>
    <mergeCell ref="U46:X46"/>
    <mergeCell ref="U45:X45"/>
    <mergeCell ref="L50:N50"/>
    <mergeCell ref="O50:T50"/>
    <mergeCell ref="U50:X50"/>
    <mergeCell ref="L49:N49"/>
    <mergeCell ref="O49:T49"/>
    <mergeCell ref="U49:X4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919"/>
  <sheetViews>
    <sheetView zoomScale="70" zoomScaleNormal="70" workbookViewId="0">
      <selection activeCell="U50" sqref="U50"/>
    </sheetView>
  </sheetViews>
  <sheetFormatPr defaultRowHeight="15" x14ac:dyDescent="0.25"/>
  <cols>
    <col min="2" max="2" width="14.85546875" bestFit="1" customWidth="1"/>
    <col min="3" max="3" width="15.85546875" customWidth="1"/>
    <col min="4" max="4" width="10.28515625" bestFit="1" customWidth="1"/>
    <col min="5" max="5" width="14.42578125" bestFit="1" customWidth="1"/>
  </cols>
  <sheetData>
    <row r="1" spans="1:14" x14ac:dyDescent="0.25">
      <c r="A1" t="s">
        <v>23</v>
      </c>
      <c r="B1" t="s">
        <v>4</v>
      </c>
      <c r="C1" t="s">
        <v>10</v>
      </c>
      <c r="D1" t="s">
        <v>11</v>
      </c>
      <c r="E1" t="s">
        <v>24</v>
      </c>
      <c r="F1" t="s">
        <v>29</v>
      </c>
      <c r="G1" t="s">
        <v>31</v>
      </c>
      <c r="H1" t="s">
        <v>34</v>
      </c>
      <c r="I1" t="s">
        <v>3</v>
      </c>
      <c r="J1" t="s">
        <v>35</v>
      </c>
      <c r="K1" t="s">
        <v>32</v>
      </c>
      <c r="L1" t="s">
        <v>36</v>
      </c>
      <c r="M1" t="s">
        <v>33</v>
      </c>
      <c r="N1" t="s">
        <v>37</v>
      </c>
    </row>
    <row r="2" spans="1:14" x14ac:dyDescent="0.25">
      <c r="A2">
        <f>VLOOKUP(B2,Calculations!$A$2:$B$10,2)+VLOOKUP(C2,Calculations!$C$2:$D$7,2)+VLOOKUP(D2,Calculations!$E$2:$F$6,2)+VLOOKUP(E2,Calculations!$G$2:$H$6,2)</f>
        <v>1200</v>
      </c>
      <c r="B2" t="s">
        <v>5</v>
      </c>
      <c r="C2" t="s">
        <v>22</v>
      </c>
      <c r="D2" t="s">
        <v>12</v>
      </c>
      <c r="E2" t="s">
        <v>30</v>
      </c>
      <c r="F2">
        <v>1</v>
      </c>
      <c r="G2">
        <v>0</v>
      </c>
      <c r="H2">
        <f t="shared" ref="H2:H65" si="0">A2*G2</f>
        <v>0</v>
      </c>
      <c r="I2">
        <v>0</v>
      </c>
      <c r="J2">
        <f t="shared" ref="J2:J65" si="1">A2*I2</f>
        <v>0</v>
      </c>
      <c r="K2">
        <v>1</v>
      </c>
      <c r="L2">
        <f t="shared" ref="L2:L65" si="2">K2*A2</f>
        <v>1200</v>
      </c>
      <c r="M2">
        <v>1</v>
      </c>
      <c r="N2">
        <f t="shared" ref="N2:N65" si="3">A2*M2</f>
        <v>1200</v>
      </c>
    </row>
    <row r="3" spans="1:14" x14ac:dyDescent="0.25">
      <c r="A3">
        <f>VLOOKUP(B3,Calculations!$A$2:$B$10,2)+VLOOKUP(C3,Calculations!$C$2:$D$7,2)+VLOOKUP(D3,Calculations!$E$2:$F$6,2)+VLOOKUP(E3,Calculations!$G$2:$H$6,2)</f>
        <v>1210</v>
      </c>
      <c r="B3" t="s">
        <v>6</v>
      </c>
      <c r="C3" t="s">
        <v>22</v>
      </c>
      <c r="D3" t="s">
        <v>12</v>
      </c>
      <c r="E3" t="s">
        <v>30</v>
      </c>
      <c r="F3">
        <v>1</v>
      </c>
      <c r="G3">
        <v>0</v>
      </c>
      <c r="H3">
        <f t="shared" si="0"/>
        <v>0</v>
      </c>
      <c r="I3">
        <v>0</v>
      </c>
      <c r="J3">
        <f t="shared" si="1"/>
        <v>0</v>
      </c>
      <c r="K3">
        <v>1</v>
      </c>
      <c r="L3">
        <f t="shared" si="2"/>
        <v>1210</v>
      </c>
      <c r="M3">
        <v>1</v>
      </c>
      <c r="N3">
        <f t="shared" si="3"/>
        <v>1210</v>
      </c>
    </row>
    <row r="4" spans="1:14" x14ac:dyDescent="0.25">
      <c r="A4">
        <f>VLOOKUP(B4,Calculations!$A$2:$B$10,2)+VLOOKUP(C4,Calculations!$C$2:$D$7,2)+VLOOKUP(D4,Calculations!$E$2:$F$6,2)+VLOOKUP(E4,Calculations!$G$2:$H$6,2)</f>
        <v>1220</v>
      </c>
      <c r="B4" t="s">
        <v>7</v>
      </c>
      <c r="C4" t="s">
        <v>22</v>
      </c>
      <c r="D4" t="s">
        <v>12</v>
      </c>
      <c r="E4" t="s">
        <v>30</v>
      </c>
      <c r="F4">
        <v>0</v>
      </c>
      <c r="G4">
        <v>0</v>
      </c>
      <c r="H4">
        <f t="shared" si="0"/>
        <v>0</v>
      </c>
      <c r="I4">
        <v>0</v>
      </c>
      <c r="J4">
        <f t="shared" si="1"/>
        <v>0</v>
      </c>
      <c r="K4">
        <v>0</v>
      </c>
      <c r="L4">
        <f t="shared" si="2"/>
        <v>0</v>
      </c>
      <c r="M4">
        <v>0</v>
      </c>
      <c r="N4">
        <f t="shared" si="3"/>
        <v>0</v>
      </c>
    </row>
    <row r="5" spans="1:14" x14ac:dyDescent="0.25">
      <c r="A5">
        <f>VLOOKUP(B5,Calculations!$A$2:$B$10,2)+VLOOKUP(C5,Calculations!$C$2:$D$7,2)+VLOOKUP(D5,Calculations!$E$2:$F$6,2)+VLOOKUP(E5,Calculations!$G$2:$H$6,2)</f>
        <v>1230</v>
      </c>
      <c r="B5" t="s">
        <v>53</v>
      </c>
      <c r="C5" t="s">
        <v>22</v>
      </c>
      <c r="D5" t="s">
        <v>12</v>
      </c>
      <c r="E5" t="s">
        <v>30</v>
      </c>
      <c r="F5">
        <v>0</v>
      </c>
      <c r="G5">
        <v>0</v>
      </c>
      <c r="H5">
        <f t="shared" si="0"/>
        <v>0</v>
      </c>
      <c r="I5">
        <v>0</v>
      </c>
      <c r="J5">
        <f t="shared" si="1"/>
        <v>0</v>
      </c>
      <c r="K5">
        <v>0</v>
      </c>
      <c r="L5">
        <f t="shared" si="2"/>
        <v>0</v>
      </c>
      <c r="M5">
        <v>0</v>
      </c>
      <c r="N5">
        <f t="shared" si="3"/>
        <v>0</v>
      </c>
    </row>
    <row r="6" spans="1:14" x14ac:dyDescent="0.25">
      <c r="A6">
        <f>VLOOKUP(B6,Calculations!$A$2:$B$10,2)+VLOOKUP(C6,Calculations!$C$2:$D$7,2)+VLOOKUP(D6,Calculations!$E$2:$F$6,2)+VLOOKUP(E6,Calculations!$G$2:$H$6,2)</f>
        <v>1240</v>
      </c>
      <c r="B6" t="s">
        <v>9</v>
      </c>
      <c r="C6" t="s">
        <v>22</v>
      </c>
      <c r="D6" t="s">
        <v>12</v>
      </c>
      <c r="E6" t="s">
        <v>30</v>
      </c>
      <c r="F6">
        <v>0</v>
      </c>
      <c r="G6">
        <v>0</v>
      </c>
      <c r="H6">
        <f t="shared" si="0"/>
        <v>0</v>
      </c>
      <c r="I6">
        <v>0</v>
      </c>
      <c r="J6">
        <f t="shared" si="1"/>
        <v>0</v>
      </c>
      <c r="K6">
        <v>0</v>
      </c>
      <c r="L6">
        <f t="shared" si="2"/>
        <v>0</v>
      </c>
      <c r="M6">
        <v>0</v>
      </c>
      <c r="N6">
        <f t="shared" si="3"/>
        <v>0</v>
      </c>
    </row>
    <row r="7" spans="1:14" x14ac:dyDescent="0.25">
      <c r="A7">
        <f>VLOOKUP(B7,Calculations!$A$2:$B$10,2)+VLOOKUP(C7,Calculations!$C$2:$D$7,2)+VLOOKUP(D7,Calculations!$E$2:$F$6,2)+VLOOKUP(E7,Calculations!$G$2:$H$6,2)</f>
        <v>1250</v>
      </c>
      <c r="B7" t="s">
        <v>50</v>
      </c>
      <c r="C7" t="s">
        <v>22</v>
      </c>
      <c r="D7" t="s">
        <v>12</v>
      </c>
      <c r="E7" t="s">
        <v>30</v>
      </c>
      <c r="F7">
        <v>0</v>
      </c>
      <c r="G7">
        <v>0</v>
      </c>
      <c r="H7">
        <f t="shared" si="0"/>
        <v>0</v>
      </c>
      <c r="I7">
        <v>0</v>
      </c>
      <c r="J7">
        <f t="shared" si="1"/>
        <v>0</v>
      </c>
      <c r="K7">
        <v>0</v>
      </c>
      <c r="L7">
        <f t="shared" si="2"/>
        <v>0</v>
      </c>
      <c r="M7">
        <v>0</v>
      </c>
      <c r="N7">
        <f t="shared" si="3"/>
        <v>0</v>
      </c>
    </row>
    <row r="8" spans="1:14" x14ac:dyDescent="0.25">
      <c r="A8">
        <f>VLOOKUP(B8,Calculations!$A$2:$B$10,2)+VLOOKUP(C8,Calculations!$C$2:$D$7,2)+VLOOKUP(D8,Calculations!$E$2:$F$6,2)+VLOOKUP(E8,Calculations!$G$2:$H$6,2)</f>
        <v>1260</v>
      </c>
      <c r="B8" t="s">
        <v>51</v>
      </c>
      <c r="C8" t="s">
        <v>22</v>
      </c>
      <c r="D8" t="s">
        <v>12</v>
      </c>
      <c r="E8" t="s">
        <v>30</v>
      </c>
      <c r="F8">
        <v>0</v>
      </c>
      <c r="G8">
        <v>0</v>
      </c>
      <c r="H8">
        <f t="shared" si="0"/>
        <v>0</v>
      </c>
      <c r="I8">
        <v>0</v>
      </c>
      <c r="J8">
        <f t="shared" si="1"/>
        <v>0</v>
      </c>
      <c r="K8">
        <v>0</v>
      </c>
      <c r="L8">
        <f t="shared" si="2"/>
        <v>0</v>
      </c>
      <c r="M8">
        <v>0</v>
      </c>
      <c r="N8">
        <f t="shared" si="3"/>
        <v>0</v>
      </c>
    </row>
    <row r="9" spans="1:14" x14ac:dyDescent="0.25">
      <c r="A9">
        <f>VLOOKUP(B9,Calculations!$A$2:$B$10,2)+VLOOKUP(C9,Calculations!$C$2:$D$7,2)+VLOOKUP(D9,Calculations!$E$2:$F$6,2)+VLOOKUP(E9,Calculations!$G$2:$H$6,2)</f>
        <v>1270</v>
      </c>
      <c r="B9" t="s">
        <v>52</v>
      </c>
      <c r="C9" t="s">
        <v>22</v>
      </c>
      <c r="D9" t="s">
        <v>12</v>
      </c>
      <c r="E9" t="s">
        <v>30</v>
      </c>
      <c r="F9">
        <v>0</v>
      </c>
      <c r="G9">
        <v>0</v>
      </c>
      <c r="H9">
        <f t="shared" si="0"/>
        <v>0</v>
      </c>
      <c r="I9">
        <v>0</v>
      </c>
      <c r="J9">
        <f t="shared" si="1"/>
        <v>0</v>
      </c>
      <c r="K9">
        <v>0</v>
      </c>
      <c r="L9">
        <f t="shared" si="2"/>
        <v>0</v>
      </c>
      <c r="M9">
        <v>0</v>
      </c>
      <c r="N9">
        <f t="shared" si="3"/>
        <v>0</v>
      </c>
    </row>
    <row r="10" spans="1:14" x14ac:dyDescent="0.25">
      <c r="A10">
        <f>VLOOKUP(B10,Calculations!$A$2:$B$10,2)+VLOOKUP(C10,Calculations!$C$2:$D$7,2)+VLOOKUP(D10,Calculations!$E$2:$F$6,2)+VLOOKUP(E10,Calculations!$G$2:$H$6,2)</f>
        <v>1280</v>
      </c>
      <c r="B10" t="s">
        <v>8</v>
      </c>
      <c r="C10" t="s">
        <v>22</v>
      </c>
      <c r="D10" t="s">
        <v>12</v>
      </c>
      <c r="E10" t="s">
        <v>30</v>
      </c>
      <c r="F10">
        <v>0</v>
      </c>
      <c r="G10">
        <v>0</v>
      </c>
      <c r="H10">
        <f t="shared" si="0"/>
        <v>0</v>
      </c>
      <c r="I10">
        <v>0</v>
      </c>
      <c r="J10">
        <f t="shared" si="1"/>
        <v>0</v>
      </c>
      <c r="K10">
        <v>0</v>
      </c>
      <c r="L10">
        <f t="shared" si="2"/>
        <v>0</v>
      </c>
      <c r="M10">
        <v>0</v>
      </c>
      <c r="N10">
        <f t="shared" si="3"/>
        <v>0</v>
      </c>
    </row>
    <row r="11" spans="1:14" x14ac:dyDescent="0.25">
      <c r="A11">
        <f>VLOOKUP(B11,Calculations!$A$2:$B$10,2)+VLOOKUP(C11,Calculations!$C$2:$D$7,2)+VLOOKUP(D11,Calculations!$E$2:$F$6,2)+VLOOKUP(E11,Calculations!$G$2:$H$6,2)</f>
        <v>1201</v>
      </c>
      <c r="B11" t="s">
        <v>5</v>
      </c>
      <c r="C11" t="s">
        <v>22</v>
      </c>
      <c r="D11" t="s">
        <v>54</v>
      </c>
      <c r="E11" t="s">
        <v>25</v>
      </c>
      <c r="F11">
        <v>1</v>
      </c>
      <c r="G11">
        <v>0</v>
      </c>
      <c r="H11">
        <f t="shared" si="0"/>
        <v>0</v>
      </c>
      <c r="I11">
        <v>0</v>
      </c>
      <c r="J11">
        <f t="shared" si="1"/>
        <v>0</v>
      </c>
      <c r="K11">
        <v>1</v>
      </c>
      <c r="L11">
        <f t="shared" si="2"/>
        <v>1201</v>
      </c>
      <c r="M11">
        <v>0</v>
      </c>
      <c r="N11">
        <f t="shared" si="3"/>
        <v>0</v>
      </c>
    </row>
    <row r="12" spans="1:14" x14ac:dyDescent="0.25">
      <c r="A12">
        <f>VLOOKUP(B12,Calculations!$A$2:$B$10,2)+VLOOKUP(C12,Calculations!$C$2:$D$7,2)+VLOOKUP(D12,Calculations!$E$2:$F$6,2)+VLOOKUP(E12,Calculations!$G$2:$H$6,2)</f>
        <v>1202</v>
      </c>
      <c r="B12" t="s">
        <v>5</v>
      </c>
      <c r="C12" t="s">
        <v>22</v>
      </c>
      <c r="D12" t="s">
        <v>13</v>
      </c>
      <c r="E12" t="s">
        <v>25</v>
      </c>
      <c r="F12">
        <v>1</v>
      </c>
      <c r="G12">
        <v>0</v>
      </c>
      <c r="H12">
        <f t="shared" si="0"/>
        <v>0</v>
      </c>
      <c r="I12">
        <v>0</v>
      </c>
      <c r="J12">
        <f t="shared" si="1"/>
        <v>0</v>
      </c>
      <c r="K12">
        <v>1</v>
      </c>
      <c r="L12">
        <f t="shared" si="2"/>
        <v>1202</v>
      </c>
      <c r="M12">
        <v>0</v>
      </c>
      <c r="N12">
        <f t="shared" si="3"/>
        <v>0</v>
      </c>
    </row>
    <row r="13" spans="1:14" x14ac:dyDescent="0.25">
      <c r="A13">
        <f>VLOOKUP(B13,Calculations!$A$2:$B$10,2)+VLOOKUP(C13,Calculations!$C$2:$D$7,2)+VLOOKUP(D13,Calculations!$E$2:$F$6,2)+VLOOKUP(E13,Calculations!$G$2:$H$6,2)</f>
        <v>1203</v>
      </c>
      <c r="B13" t="s">
        <v>5</v>
      </c>
      <c r="C13" t="s">
        <v>22</v>
      </c>
      <c r="D13" t="s">
        <v>14</v>
      </c>
      <c r="E13" t="s">
        <v>25</v>
      </c>
      <c r="F13">
        <v>0</v>
      </c>
      <c r="G13">
        <v>0</v>
      </c>
      <c r="H13">
        <f t="shared" si="0"/>
        <v>0</v>
      </c>
      <c r="I13">
        <v>0</v>
      </c>
      <c r="J13">
        <f t="shared" si="1"/>
        <v>0</v>
      </c>
      <c r="K13">
        <v>0</v>
      </c>
      <c r="L13">
        <f t="shared" si="2"/>
        <v>0</v>
      </c>
      <c r="M13">
        <v>0</v>
      </c>
      <c r="N13">
        <f t="shared" si="3"/>
        <v>0</v>
      </c>
    </row>
    <row r="14" spans="1:14" x14ac:dyDescent="0.25">
      <c r="A14">
        <f>VLOOKUP(B14,Calculations!$A$2:$B$10,2)+VLOOKUP(C14,Calculations!$C$2:$D$7,2)+VLOOKUP(D14,Calculations!$E$2:$F$6,2)+VLOOKUP(E14,Calculations!$G$2:$H$6,2)</f>
        <v>1204</v>
      </c>
      <c r="B14" t="s">
        <v>5</v>
      </c>
      <c r="C14" t="s">
        <v>22</v>
      </c>
      <c r="D14" t="s">
        <v>15</v>
      </c>
      <c r="E14" t="s">
        <v>25</v>
      </c>
      <c r="F14">
        <v>0</v>
      </c>
      <c r="G14">
        <v>0</v>
      </c>
      <c r="H14">
        <f t="shared" si="0"/>
        <v>0</v>
      </c>
      <c r="I14">
        <v>0</v>
      </c>
      <c r="J14">
        <f t="shared" si="1"/>
        <v>0</v>
      </c>
      <c r="K14">
        <v>0</v>
      </c>
      <c r="L14">
        <f t="shared" si="2"/>
        <v>0</v>
      </c>
      <c r="M14">
        <v>0</v>
      </c>
      <c r="N14">
        <f t="shared" si="3"/>
        <v>0</v>
      </c>
    </row>
    <row r="15" spans="1:14" x14ac:dyDescent="0.25">
      <c r="A15">
        <f>VLOOKUP(B15,Calculations!$A$2:$B$10,2)+VLOOKUP(C15,Calculations!$C$2:$D$7,2)+VLOOKUP(D15,Calculations!$E$2:$F$6,2)+VLOOKUP(E15,Calculations!$G$2:$H$6,2)</f>
        <v>1211</v>
      </c>
      <c r="B15" t="s">
        <v>6</v>
      </c>
      <c r="C15" t="s">
        <v>22</v>
      </c>
      <c r="D15" t="s">
        <v>54</v>
      </c>
      <c r="E15" t="s">
        <v>25</v>
      </c>
      <c r="F15">
        <v>1</v>
      </c>
      <c r="G15">
        <v>0</v>
      </c>
      <c r="H15">
        <f t="shared" si="0"/>
        <v>0</v>
      </c>
      <c r="I15">
        <v>0</v>
      </c>
      <c r="J15">
        <f t="shared" si="1"/>
        <v>0</v>
      </c>
      <c r="K15">
        <v>1</v>
      </c>
      <c r="L15">
        <f t="shared" si="2"/>
        <v>1211</v>
      </c>
      <c r="M15">
        <v>0</v>
      </c>
      <c r="N15">
        <f t="shared" si="3"/>
        <v>0</v>
      </c>
    </row>
    <row r="16" spans="1:14" x14ac:dyDescent="0.25">
      <c r="A16">
        <f>VLOOKUP(B16,Calculations!$A$2:$B$10,2)+VLOOKUP(C16,Calculations!$C$2:$D$7,2)+VLOOKUP(D16,Calculations!$E$2:$F$6,2)+VLOOKUP(E16,Calculations!$G$2:$H$6,2)</f>
        <v>1212</v>
      </c>
      <c r="B16" t="s">
        <v>6</v>
      </c>
      <c r="C16" t="s">
        <v>22</v>
      </c>
      <c r="D16" t="s">
        <v>13</v>
      </c>
      <c r="E16" t="s">
        <v>25</v>
      </c>
      <c r="F16">
        <v>1</v>
      </c>
      <c r="G16">
        <v>0</v>
      </c>
      <c r="H16">
        <f t="shared" si="0"/>
        <v>0</v>
      </c>
      <c r="I16">
        <v>0</v>
      </c>
      <c r="J16">
        <f t="shared" si="1"/>
        <v>0</v>
      </c>
      <c r="K16">
        <v>1</v>
      </c>
      <c r="L16">
        <f t="shared" si="2"/>
        <v>1212</v>
      </c>
      <c r="M16">
        <v>0</v>
      </c>
      <c r="N16">
        <f t="shared" si="3"/>
        <v>0</v>
      </c>
    </row>
    <row r="17" spans="1:14" x14ac:dyDescent="0.25">
      <c r="A17">
        <f>VLOOKUP(B17,Calculations!$A$2:$B$10,2)+VLOOKUP(C17,Calculations!$C$2:$D$7,2)+VLOOKUP(D17,Calculations!$E$2:$F$6,2)+VLOOKUP(E17,Calculations!$G$2:$H$6,2)</f>
        <v>1213</v>
      </c>
      <c r="B17" t="s">
        <v>6</v>
      </c>
      <c r="C17" t="s">
        <v>22</v>
      </c>
      <c r="D17" t="s">
        <v>14</v>
      </c>
      <c r="E17" t="s">
        <v>25</v>
      </c>
      <c r="F17">
        <v>0</v>
      </c>
      <c r="G17">
        <v>0</v>
      </c>
      <c r="H17">
        <f t="shared" si="0"/>
        <v>0</v>
      </c>
      <c r="I17">
        <v>0</v>
      </c>
      <c r="J17">
        <f t="shared" si="1"/>
        <v>0</v>
      </c>
      <c r="K17">
        <v>0</v>
      </c>
      <c r="L17">
        <f t="shared" si="2"/>
        <v>0</v>
      </c>
      <c r="M17">
        <v>0</v>
      </c>
      <c r="N17">
        <f t="shared" si="3"/>
        <v>0</v>
      </c>
    </row>
    <row r="18" spans="1:14" x14ac:dyDescent="0.25">
      <c r="A18">
        <f>VLOOKUP(B18,Calculations!$A$2:$B$10,2)+VLOOKUP(C18,Calculations!$C$2:$D$7,2)+VLOOKUP(D18,Calculations!$E$2:$F$6,2)+VLOOKUP(E18,Calculations!$G$2:$H$6,2)</f>
        <v>1214</v>
      </c>
      <c r="B18" t="s">
        <v>6</v>
      </c>
      <c r="C18" t="s">
        <v>22</v>
      </c>
      <c r="D18" t="s">
        <v>15</v>
      </c>
      <c r="E18" t="s">
        <v>25</v>
      </c>
      <c r="F18">
        <v>0</v>
      </c>
      <c r="G18">
        <v>0</v>
      </c>
      <c r="H18">
        <f t="shared" si="0"/>
        <v>0</v>
      </c>
      <c r="I18">
        <v>0</v>
      </c>
      <c r="J18">
        <f t="shared" si="1"/>
        <v>0</v>
      </c>
      <c r="K18">
        <v>0</v>
      </c>
      <c r="L18">
        <f t="shared" si="2"/>
        <v>0</v>
      </c>
      <c r="M18">
        <v>0</v>
      </c>
      <c r="N18">
        <f t="shared" si="3"/>
        <v>0</v>
      </c>
    </row>
    <row r="19" spans="1:14" x14ac:dyDescent="0.25">
      <c r="A19">
        <f>VLOOKUP(B19,Calculations!$A$2:$B$10,2)+VLOOKUP(C19,Calculations!$C$2:$D$7,2)+VLOOKUP(D19,Calculations!$E$2:$F$6,2)+VLOOKUP(E19,Calculations!$G$2:$H$6,2)</f>
        <v>1221</v>
      </c>
      <c r="B19" t="s">
        <v>7</v>
      </c>
      <c r="C19" t="s">
        <v>22</v>
      </c>
      <c r="D19" t="s">
        <v>54</v>
      </c>
      <c r="E19" t="s">
        <v>25</v>
      </c>
      <c r="F19">
        <v>0</v>
      </c>
      <c r="G19">
        <v>0</v>
      </c>
      <c r="H19">
        <f t="shared" si="0"/>
        <v>0</v>
      </c>
      <c r="I19">
        <v>0</v>
      </c>
      <c r="J19">
        <f t="shared" si="1"/>
        <v>0</v>
      </c>
      <c r="K19">
        <v>0</v>
      </c>
      <c r="L19">
        <f t="shared" si="2"/>
        <v>0</v>
      </c>
      <c r="M19">
        <v>0</v>
      </c>
      <c r="N19">
        <f t="shared" si="3"/>
        <v>0</v>
      </c>
    </row>
    <row r="20" spans="1:14" x14ac:dyDescent="0.25">
      <c r="A20">
        <f>VLOOKUP(B20,Calculations!$A$2:$B$10,2)+VLOOKUP(C20,Calculations!$C$2:$D$7,2)+VLOOKUP(D20,Calculations!$E$2:$F$6,2)+VLOOKUP(E20,Calculations!$G$2:$H$6,2)</f>
        <v>1222</v>
      </c>
      <c r="B20" t="s">
        <v>7</v>
      </c>
      <c r="C20" t="s">
        <v>22</v>
      </c>
      <c r="D20" t="s">
        <v>13</v>
      </c>
      <c r="E20" t="s">
        <v>25</v>
      </c>
      <c r="F20">
        <v>0</v>
      </c>
      <c r="G20">
        <v>0</v>
      </c>
      <c r="H20">
        <f t="shared" si="0"/>
        <v>0</v>
      </c>
      <c r="I20">
        <v>0</v>
      </c>
      <c r="J20">
        <f t="shared" si="1"/>
        <v>0</v>
      </c>
      <c r="K20">
        <v>0</v>
      </c>
      <c r="L20">
        <f t="shared" si="2"/>
        <v>0</v>
      </c>
      <c r="M20">
        <v>0</v>
      </c>
      <c r="N20">
        <f t="shared" si="3"/>
        <v>0</v>
      </c>
    </row>
    <row r="21" spans="1:14" x14ac:dyDescent="0.25">
      <c r="A21">
        <f>VLOOKUP(B21,Calculations!$A$2:$B$10,2)+VLOOKUP(C21,Calculations!$C$2:$D$7,2)+VLOOKUP(D21,Calculations!$E$2:$F$6,2)+VLOOKUP(E21,Calculations!$G$2:$H$6,2)</f>
        <v>1223</v>
      </c>
      <c r="B21" t="s">
        <v>7</v>
      </c>
      <c r="C21" t="s">
        <v>22</v>
      </c>
      <c r="D21" t="s">
        <v>14</v>
      </c>
      <c r="E21" t="s">
        <v>25</v>
      </c>
      <c r="F21">
        <v>0</v>
      </c>
      <c r="G21">
        <v>0</v>
      </c>
      <c r="H21">
        <f t="shared" si="0"/>
        <v>0</v>
      </c>
      <c r="I21">
        <v>0</v>
      </c>
      <c r="J21">
        <f t="shared" si="1"/>
        <v>0</v>
      </c>
      <c r="K21">
        <v>0</v>
      </c>
      <c r="L21">
        <f t="shared" si="2"/>
        <v>0</v>
      </c>
      <c r="M21">
        <v>0</v>
      </c>
      <c r="N21">
        <f t="shared" si="3"/>
        <v>0</v>
      </c>
    </row>
    <row r="22" spans="1:14" x14ac:dyDescent="0.25">
      <c r="A22">
        <f>VLOOKUP(B22,Calculations!$A$2:$B$10,2)+VLOOKUP(C22,Calculations!$C$2:$D$7,2)+VLOOKUP(D22,Calculations!$E$2:$F$6,2)+VLOOKUP(E22,Calculations!$G$2:$H$6,2)</f>
        <v>1224</v>
      </c>
      <c r="B22" t="s">
        <v>7</v>
      </c>
      <c r="C22" t="s">
        <v>22</v>
      </c>
      <c r="D22" t="s">
        <v>15</v>
      </c>
      <c r="E22" t="s">
        <v>25</v>
      </c>
      <c r="F22">
        <v>0</v>
      </c>
      <c r="G22">
        <v>0</v>
      </c>
      <c r="H22">
        <f t="shared" si="0"/>
        <v>0</v>
      </c>
      <c r="I22">
        <v>0</v>
      </c>
      <c r="J22">
        <f t="shared" si="1"/>
        <v>0</v>
      </c>
      <c r="K22">
        <v>0</v>
      </c>
      <c r="L22">
        <f t="shared" si="2"/>
        <v>0</v>
      </c>
      <c r="M22">
        <v>0</v>
      </c>
      <c r="N22">
        <f t="shared" si="3"/>
        <v>0</v>
      </c>
    </row>
    <row r="23" spans="1:14" x14ac:dyDescent="0.25">
      <c r="A23">
        <f>VLOOKUP(B23,Calculations!$A$2:$B$10,2)+VLOOKUP(C23,Calculations!$C$2:$D$7,2)+VLOOKUP(D23,Calculations!$E$2:$F$6,2)+VLOOKUP(E23,Calculations!$G$2:$H$6,2)</f>
        <v>1231</v>
      </c>
      <c r="B23" t="s">
        <v>53</v>
      </c>
      <c r="C23" t="s">
        <v>22</v>
      </c>
      <c r="D23" t="s">
        <v>54</v>
      </c>
      <c r="E23" t="s">
        <v>25</v>
      </c>
      <c r="F23">
        <v>0</v>
      </c>
      <c r="G23">
        <v>0</v>
      </c>
      <c r="H23">
        <f t="shared" si="0"/>
        <v>0</v>
      </c>
      <c r="I23">
        <v>0</v>
      </c>
      <c r="J23">
        <f t="shared" si="1"/>
        <v>0</v>
      </c>
      <c r="K23">
        <v>0</v>
      </c>
      <c r="L23">
        <f t="shared" si="2"/>
        <v>0</v>
      </c>
      <c r="M23">
        <v>0</v>
      </c>
      <c r="N23">
        <f t="shared" si="3"/>
        <v>0</v>
      </c>
    </row>
    <row r="24" spans="1:14" x14ac:dyDescent="0.25">
      <c r="A24">
        <f>VLOOKUP(B24,Calculations!$A$2:$B$10,2)+VLOOKUP(C24,Calculations!$C$2:$D$7,2)+VLOOKUP(D24,Calculations!$E$2:$F$6,2)+VLOOKUP(E24,Calculations!$G$2:$H$6,2)</f>
        <v>1232</v>
      </c>
      <c r="B24" t="s">
        <v>53</v>
      </c>
      <c r="C24" t="s">
        <v>22</v>
      </c>
      <c r="D24" t="s">
        <v>13</v>
      </c>
      <c r="E24" t="s">
        <v>25</v>
      </c>
      <c r="F24">
        <v>0</v>
      </c>
      <c r="G24">
        <v>0</v>
      </c>
      <c r="H24">
        <f t="shared" si="0"/>
        <v>0</v>
      </c>
      <c r="I24">
        <v>0</v>
      </c>
      <c r="J24">
        <f t="shared" si="1"/>
        <v>0</v>
      </c>
      <c r="K24">
        <v>0</v>
      </c>
      <c r="L24">
        <f t="shared" si="2"/>
        <v>0</v>
      </c>
      <c r="M24">
        <v>0</v>
      </c>
      <c r="N24">
        <f t="shared" si="3"/>
        <v>0</v>
      </c>
    </row>
    <row r="25" spans="1:14" x14ac:dyDescent="0.25">
      <c r="A25">
        <f>VLOOKUP(B25,Calculations!$A$2:$B$10,2)+VLOOKUP(C25,Calculations!$C$2:$D$7,2)+VLOOKUP(D25,Calculations!$E$2:$F$6,2)+VLOOKUP(E25,Calculations!$G$2:$H$6,2)</f>
        <v>1233</v>
      </c>
      <c r="B25" t="s">
        <v>53</v>
      </c>
      <c r="C25" t="s">
        <v>22</v>
      </c>
      <c r="D25" t="s">
        <v>14</v>
      </c>
      <c r="E25" t="s">
        <v>25</v>
      </c>
      <c r="F25">
        <v>0</v>
      </c>
      <c r="G25">
        <v>0</v>
      </c>
      <c r="H25">
        <f t="shared" si="0"/>
        <v>0</v>
      </c>
      <c r="I25">
        <v>0</v>
      </c>
      <c r="J25">
        <f t="shared" si="1"/>
        <v>0</v>
      </c>
      <c r="K25">
        <v>0</v>
      </c>
      <c r="L25">
        <f t="shared" si="2"/>
        <v>0</v>
      </c>
      <c r="M25">
        <v>0</v>
      </c>
      <c r="N25">
        <f t="shared" si="3"/>
        <v>0</v>
      </c>
    </row>
    <row r="26" spans="1:14" x14ac:dyDescent="0.25">
      <c r="A26">
        <f>VLOOKUP(B26,Calculations!$A$2:$B$10,2)+VLOOKUP(C26,Calculations!$C$2:$D$7,2)+VLOOKUP(D26,Calculations!$E$2:$F$6,2)+VLOOKUP(E26,Calculations!$G$2:$H$6,2)</f>
        <v>1234</v>
      </c>
      <c r="B26" t="s">
        <v>53</v>
      </c>
      <c r="C26" t="s">
        <v>22</v>
      </c>
      <c r="D26" t="s">
        <v>15</v>
      </c>
      <c r="E26" t="s">
        <v>25</v>
      </c>
      <c r="F26">
        <v>0</v>
      </c>
      <c r="G26">
        <v>0</v>
      </c>
      <c r="H26">
        <f t="shared" si="0"/>
        <v>0</v>
      </c>
      <c r="I26">
        <v>0</v>
      </c>
      <c r="J26">
        <f t="shared" si="1"/>
        <v>0</v>
      </c>
      <c r="K26">
        <v>0</v>
      </c>
      <c r="L26">
        <f t="shared" si="2"/>
        <v>0</v>
      </c>
      <c r="M26">
        <v>0</v>
      </c>
      <c r="N26">
        <f t="shared" si="3"/>
        <v>0</v>
      </c>
    </row>
    <row r="27" spans="1:14" x14ac:dyDescent="0.25">
      <c r="A27">
        <f>VLOOKUP(B27,Calculations!$A$2:$B$10,2)+VLOOKUP(C27,Calculations!$C$2:$D$7,2)+VLOOKUP(D27,Calculations!$E$2:$F$6,2)+VLOOKUP(E27,Calculations!$G$2:$H$6,2)</f>
        <v>1241</v>
      </c>
      <c r="B27" t="s">
        <v>9</v>
      </c>
      <c r="C27" t="s">
        <v>22</v>
      </c>
      <c r="D27" t="s">
        <v>54</v>
      </c>
      <c r="E27" t="s">
        <v>25</v>
      </c>
      <c r="F27">
        <v>0</v>
      </c>
      <c r="G27">
        <v>0</v>
      </c>
      <c r="H27">
        <f t="shared" si="0"/>
        <v>0</v>
      </c>
      <c r="I27">
        <v>0</v>
      </c>
      <c r="J27">
        <f t="shared" si="1"/>
        <v>0</v>
      </c>
      <c r="K27">
        <v>0</v>
      </c>
      <c r="L27">
        <f t="shared" si="2"/>
        <v>0</v>
      </c>
      <c r="M27">
        <v>0</v>
      </c>
      <c r="N27">
        <f t="shared" si="3"/>
        <v>0</v>
      </c>
    </row>
    <row r="28" spans="1:14" x14ac:dyDescent="0.25">
      <c r="A28">
        <f>VLOOKUP(B28,Calculations!$A$2:$B$10,2)+VLOOKUP(C28,Calculations!$C$2:$D$7,2)+VLOOKUP(D28,Calculations!$E$2:$F$6,2)+VLOOKUP(E28,Calculations!$G$2:$H$6,2)</f>
        <v>1242</v>
      </c>
      <c r="B28" t="s">
        <v>9</v>
      </c>
      <c r="C28" t="s">
        <v>22</v>
      </c>
      <c r="D28" t="s">
        <v>13</v>
      </c>
      <c r="E28" t="s">
        <v>25</v>
      </c>
      <c r="F28">
        <v>0</v>
      </c>
      <c r="G28">
        <v>0</v>
      </c>
      <c r="H28">
        <f t="shared" si="0"/>
        <v>0</v>
      </c>
      <c r="I28">
        <v>0</v>
      </c>
      <c r="J28">
        <f t="shared" si="1"/>
        <v>0</v>
      </c>
      <c r="K28">
        <v>0</v>
      </c>
      <c r="L28">
        <f t="shared" si="2"/>
        <v>0</v>
      </c>
      <c r="M28">
        <v>0</v>
      </c>
      <c r="N28">
        <f t="shared" si="3"/>
        <v>0</v>
      </c>
    </row>
    <row r="29" spans="1:14" x14ac:dyDescent="0.25">
      <c r="A29">
        <f>VLOOKUP(B29,Calculations!$A$2:$B$10,2)+VLOOKUP(C29,Calculations!$C$2:$D$7,2)+VLOOKUP(D29,Calculations!$E$2:$F$6,2)+VLOOKUP(E29,Calculations!$G$2:$H$6,2)</f>
        <v>1243</v>
      </c>
      <c r="B29" t="s">
        <v>9</v>
      </c>
      <c r="C29" t="s">
        <v>22</v>
      </c>
      <c r="D29" t="s">
        <v>14</v>
      </c>
      <c r="E29" t="s">
        <v>25</v>
      </c>
      <c r="F29">
        <v>0</v>
      </c>
      <c r="G29">
        <v>0</v>
      </c>
      <c r="H29">
        <f t="shared" si="0"/>
        <v>0</v>
      </c>
      <c r="I29">
        <v>0</v>
      </c>
      <c r="J29">
        <f t="shared" si="1"/>
        <v>0</v>
      </c>
      <c r="K29">
        <v>0</v>
      </c>
      <c r="L29">
        <f t="shared" si="2"/>
        <v>0</v>
      </c>
      <c r="M29">
        <v>0</v>
      </c>
      <c r="N29">
        <f t="shared" si="3"/>
        <v>0</v>
      </c>
    </row>
    <row r="30" spans="1:14" x14ac:dyDescent="0.25">
      <c r="A30">
        <f>VLOOKUP(B30,Calculations!$A$2:$B$10,2)+VLOOKUP(C30,Calculations!$C$2:$D$7,2)+VLOOKUP(D30,Calculations!$E$2:$F$6,2)+VLOOKUP(E30,Calculations!$G$2:$H$6,2)</f>
        <v>1244</v>
      </c>
      <c r="B30" t="s">
        <v>9</v>
      </c>
      <c r="C30" t="s">
        <v>22</v>
      </c>
      <c r="D30" t="s">
        <v>15</v>
      </c>
      <c r="E30" t="s">
        <v>25</v>
      </c>
      <c r="F30">
        <v>0</v>
      </c>
      <c r="G30">
        <v>0</v>
      </c>
      <c r="H30">
        <f t="shared" si="0"/>
        <v>0</v>
      </c>
      <c r="I30">
        <v>0</v>
      </c>
      <c r="J30">
        <f t="shared" si="1"/>
        <v>0</v>
      </c>
      <c r="K30">
        <v>0</v>
      </c>
      <c r="L30">
        <f t="shared" si="2"/>
        <v>0</v>
      </c>
      <c r="M30">
        <v>0</v>
      </c>
      <c r="N30">
        <f t="shared" si="3"/>
        <v>0</v>
      </c>
    </row>
    <row r="31" spans="1:14" x14ac:dyDescent="0.25">
      <c r="A31">
        <f>VLOOKUP(B31,Calculations!$A$2:$B$10,2)+VLOOKUP(C31,Calculations!$C$2:$D$7,2)+VLOOKUP(D31,Calculations!$E$2:$F$6,2)+VLOOKUP(E31,Calculations!$G$2:$H$6,2)</f>
        <v>1251</v>
      </c>
      <c r="B31" t="s">
        <v>50</v>
      </c>
      <c r="C31" t="s">
        <v>22</v>
      </c>
      <c r="D31" t="s">
        <v>54</v>
      </c>
      <c r="E31" t="s">
        <v>25</v>
      </c>
      <c r="F31">
        <v>0</v>
      </c>
      <c r="G31">
        <v>0</v>
      </c>
      <c r="H31">
        <f t="shared" si="0"/>
        <v>0</v>
      </c>
      <c r="I31">
        <v>0</v>
      </c>
      <c r="J31">
        <f t="shared" si="1"/>
        <v>0</v>
      </c>
      <c r="K31">
        <v>0</v>
      </c>
      <c r="L31">
        <f t="shared" si="2"/>
        <v>0</v>
      </c>
      <c r="M31">
        <v>0</v>
      </c>
      <c r="N31">
        <f t="shared" si="3"/>
        <v>0</v>
      </c>
    </row>
    <row r="32" spans="1:14" x14ac:dyDescent="0.25">
      <c r="A32">
        <f>VLOOKUP(B32,Calculations!$A$2:$B$10,2)+VLOOKUP(C32,Calculations!$C$2:$D$7,2)+VLOOKUP(D32,Calculations!$E$2:$F$6,2)+VLOOKUP(E32,Calculations!$G$2:$H$6,2)</f>
        <v>1252</v>
      </c>
      <c r="B32" t="s">
        <v>50</v>
      </c>
      <c r="C32" t="s">
        <v>22</v>
      </c>
      <c r="D32" t="s">
        <v>13</v>
      </c>
      <c r="E32" t="s">
        <v>25</v>
      </c>
      <c r="F32">
        <v>0</v>
      </c>
      <c r="G32">
        <v>0</v>
      </c>
      <c r="H32">
        <f t="shared" si="0"/>
        <v>0</v>
      </c>
      <c r="I32">
        <v>0</v>
      </c>
      <c r="J32">
        <f t="shared" si="1"/>
        <v>0</v>
      </c>
      <c r="K32">
        <v>0</v>
      </c>
      <c r="L32">
        <f t="shared" si="2"/>
        <v>0</v>
      </c>
      <c r="M32">
        <v>0</v>
      </c>
      <c r="N32">
        <f t="shared" si="3"/>
        <v>0</v>
      </c>
    </row>
    <row r="33" spans="1:14" x14ac:dyDescent="0.25">
      <c r="A33">
        <f>VLOOKUP(B33,Calculations!$A$2:$B$10,2)+VLOOKUP(C33,Calculations!$C$2:$D$7,2)+VLOOKUP(D33,Calculations!$E$2:$F$6,2)+VLOOKUP(E33,Calculations!$G$2:$H$6,2)</f>
        <v>1253</v>
      </c>
      <c r="B33" t="s">
        <v>50</v>
      </c>
      <c r="C33" t="s">
        <v>22</v>
      </c>
      <c r="D33" t="s">
        <v>14</v>
      </c>
      <c r="E33" t="s">
        <v>25</v>
      </c>
      <c r="F33">
        <v>0</v>
      </c>
      <c r="G33">
        <v>0</v>
      </c>
      <c r="H33">
        <f t="shared" si="0"/>
        <v>0</v>
      </c>
      <c r="I33">
        <v>0</v>
      </c>
      <c r="J33">
        <f t="shared" si="1"/>
        <v>0</v>
      </c>
      <c r="K33">
        <v>0</v>
      </c>
      <c r="L33">
        <f t="shared" si="2"/>
        <v>0</v>
      </c>
      <c r="M33">
        <v>0</v>
      </c>
      <c r="N33">
        <f t="shared" si="3"/>
        <v>0</v>
      </c>
    </row>
    <row r="34" spans="1:14" x14ac:dyDescent="0.25">
      <c r="A34">
        <f>VLOOKUP(B34,Calculations!$A$2:$B$10,2)+VLOOKUP(C34,Calculations!$C$2:$D$7,2)+VLOOKUP(D34,Calculations!$E$2:$F$6,2)+VLOOKUP(E34,Calculations!$G$2:$H$6,2)</f>
        <v>1254</v>
      </c>
      <c r="B34" t="s">
        <v>50</v>
      </c>
      <c r="C34" t="s">
        <v>22</v>
      </c>
      <c r="D34" t="s">
        <v>15</v>
      </c>
      <c r="E34" t="s">
        <v>25</v>
      </c>
      <c r="F34">
        <v>0</v>
      </c>
      <c r="G34">
        <v>0</v>
      </c>
      <c r="H34">
        <f t="shared" si="0"/>
        <v>0</v>
      </c>
      <c r="I34">
        <v>0</v>
      </c>
      <c r="J34">
        <f t="shared" si="1"/>
        <v>0</v>
      </c>
      <c r="K34">
        <v>0</v>
      </c>
      <c r="L34">
        <f t="shared" si="2"/>
        <v>0</v>
      </c>
      <c r="M34">
        <v>0</v>
      </c>
      <c r="N34">
        <f t="shared" si="3"/>
        <v>0</v>
      </c>
    </row>
    <row r="35" spans="1:14" x14ac:dyDescent="0.25">
      <c r="A35">
        <f>VLOOKUP(B35,Calculations!$A$2:$B$10,2)+VLOOKUP(C35,Calculations!$C$2:$D$7,2)+VLOOKUP(D35,Calculations!$E$2:$F$6,2)+VLOOKUP(E35,Calculations!$G$2:$H$6,2)</f>
        <v>1261</v>
      </c>
      <c r="B35" t="s">
        <v>51</v>
      </c>
      <c r="C35" t="s">
        <v>22</v>
      </c>
      <c r="D35" t="s">
        <v>54</v>
      </c>
      <c r="E35" t="s">
        <v>25</v>
      </c>
      <c r="F35">
        <v>0</v>
      </c>
      <c r="G35">
        <v>0</v>
      </c>
      <c r="H35">
        <f t="shared" si="0"/>
        <v>0</v>
      </c>
      <c r="I35">
        <v>0</v>
      </c>
      <c r="J35">
        <f t="shared" si="1"/>
        <v>0</v>
      </c>
      <c r="K35">
        <v>0</v>
      </c>
      <c r="L35">
        <f t="shared" si="2"/>
        <v>0</v>
      </c>
      <c r="M35">
        <v>0</v>
      </c>
      <c r="N35">
        <f t="shared" si="3"/>
        <v>0</v>
      </c>
    </row>
    <row r="36" spans="1:14" x14ac:dyDescent="0.25">
      <c r="A36">
        <f>VLOOKUP(B36,Calculations!$A$2:$B$10,2)+VLOOKUP(C36,Calculations!$C$2:$D$7,2)+VLOOKUP(D36,Calculations!$E$2:$F$6,2)+VLOOKUP(E36,Calculations!$G$2:$H$6,2)</f>
        <v>1262</v>
      </c>
      <c r="B36" t="s">
        <v>51</v>
      </c>
      <c r="C36" t="s">
        <v>22</v>
      </c>
      <c r="D36" t="s">
        <v>13</v>
      </c>
      <c r="E36" t="s">
        <v>25</v>
      </c>
      <c r="F36">
        <v>0</v>
      </c>
      <c r="G36">
        <v>0</v>
      </c>
      <c r="H36">
        <f t="shared" si="0"/>
        <v>0</v>
      </c>
      <c r="I36">
        <v>0</v>
      </c>
      <c r="J36">
        <f t="shared" si="1"/>
        <v>0</v>
      </c>
      <c r="K36">
        <v>0</v>
      </c>
      <c r="L36">
        <f t="shared" si="2"/>
        <v>0</v>
      </c>
      <c r="M36">
        <v>0</v>
      </c>
      <c r="N36">
        <f t="shared" si="3"/>
        <v>0</v>
      </c>
    </row>
    <row r="37" spans="1:14" x14ac:dyDescent="0.25">
      <c r="A37">
        <f>VLOOKUP(B37,Calculations!$A$2:$B$10,2)+VLOOKUP(C37,Calculations!$C$2:$D$7,2)+VLOOKUP(D37,Calculations!$E$2:$F$6,2)+VLOOKUP(E37,Calculations!$G$2:$H$6,2)</f>
        <v>1263</v>
      </c>
      <c r="B37" t="s">
        <v>51</v>
      </c>
      <c r="C37" t="s">
        <v>22</v>
      </c>
      <c r="D37" t="s">
        <v>14</v>
      </c>
      <c r="E37" t="s">
        <v>25</v>
      </c>
      <c r="F37">
        <v>0</v>
      </c>
      <c r="G37">
        <v>0</v>
      </c>
      <c r="H37">
        <f t="shared" si="0"/>
        <v>0</v>
      </c>
      <c r="I37">
        <v>0</v>
      </c>
      <c r="J37">
        <f t="shared" si="1"/>
        <v>0</v>
      </c>
      <c r="K37">
        <v>0</v>
      </c>
      <c r="L37">
        <f t="shared" si="2"/>
        <v>0</v>
      </c>
      <c r="M37">
        <v>0</v>
      </c>
      <c r="N37">
        <f t="shared" si="3"/>
        <v>0</v>
      </c>
    </row>
    <row r="38" spans="1:14" x14ac:dyDescent="0.25">
      <c r="A38">
        <f>VLOOKUP(B38,Calculations!$A$2:$B$10,2)+VLOOKUP(C38,Calculations!$C$2:$D$7,2)+VLOOKUP(D38,Calculations!$E$2:$F$6,2)+VLOOKUP(E38,Calculations!$G$2:$H$6,2)</f>
        <v>1264</v>
      </c>
      <c r="B38" t="s">
        <v>51</v>
      </c>
      <c r="C38" t="s">
        <v>22</v>
      </c>
      <c r="D38" t="s">
        <v>15</v>
      </c>
      <c r="E38" t="s">
        <v>25</v>
      </c>
      <c r="F38">
        <v>0</v>
      </c>
      <c r="G38">
        <v>0</v>
      </c>
      <c r="H38">
        <f t="shared" si="0"/>
        <v>0</v>
      </c>
      <c r="I38">
        <v>0</v>
      </c>
      <c r="J38">
        <f t="shared" si="1"/>
        <v>0</v>
      </c>
      <c r="K38">
        <v>0</v>
      </c>
      <c r="L38">
        <f t="shared" si="2"/>
        <v>0</v>
      </c>
      <c r="M38">
        <v>0</v>
      </c>
      <c r="N38">
        <f t="shared" si="3"/>
        <v>0</v>
      </c>
    </row>
    <row r="39" spans="1:14" x14ac:dyDescent="0.25">
      <c r="A39">
        <f>VLOOKUP(B39,Calculations!$A$2:$B$10,2)+VLOOKUP(C39,Calculations!$C$2:$D$7,2)+VLOOKUP(D39,Calculations!$E$2:$F$6,2)+VLOOKUP(E39,Calculations!$G$2:$H$6,2)</f>
        <v>1271</v>
      </c>
      <c r="B39" t="s">
        <v>52</v>
      </c>
      <c r="C39" t="s">
        <v>22</v>
      </c>
      <c r="D39" t="s">
        <v>54</v>
      </c>
      <c r="E39" t="s">
        <v>25</v>
      </c>
      <c r="F39">
        <v>0</v>
      </c>
      <c r="G39">
        <v>0</v>
      </c>
      <c r="H39">
        <f t="shared" si="0"/>
        <v>0</v>
      </c>
      <c r="I39">
        <v>0</v>
      </c>
      <c r="J39">
        <f t="shared" si="1"/>
        <v>0</v>
      </c>
      <c r="K39">
        <v>0</v>
      </c>
      <c r="L39">
        <f t="shared" si="2"/>
        <v>0</v>
      </c>
      <c r="M39">
        <v>0</v>
      </c>
      <c r="N39">
        <f t="shared" si="3"/>
        <v>0</v>
      </c>
    </row>
    <row r="40" spans="1:14" x14ac:dyDescent="0.25">
      <c r="A40">
        <f>VLOOKUP(B40,Calculations!$A$2:$B$10,2)+VLOOKUP(C40,Calculations!$C$2:$D$7,2)+VLOOKUP(D40,Calculations!$E$2:$F$6,2)+VLOOKUP(E40,Calculations!$G$2:$H$6,2)</f>
        <v>1272</v>
      </c>
      <c r="B40" t="s">
        <v>52</v>
      </c>
      <c r="C40" t="s">
        <v>22</v>
      </c>
      <c r="D40" t="s">
        <v>13</v>
      </c>
      <c r="E40" t="s">
        <v>25</v>
      </c>
      <c r="F40">
        <v>0</v>
      </c>
      <c r="G40">
        <v>0</v>
      </c>
      <c r="H40">
        <f t="shared" si="0"/>
        <v>0</v>
      </c>
      <c r="I40">
        <v>0</v>
      </c>
      <c r="J40">
        <f t="shared" si="1"/>
        <v>0</v>
      </c>
      <c r="K40">
        <v>0</v>
      </c>
      <c r="L40">
        <f t="shared" si="2"/>
        <v>0</v>
      </c>
      <c r="M40">
        <v>0</v>
      </c>
      <c r="N40">
        <f t="shared" si="3"/>
        <v>0</v>
      </c>
    </row>
    <row r="41" spans="1:14" x14ac:dyDescent="0.25">
      <c r="A41">
        <f>VLOOKUP(B41,Calculations!$A$2:$B$10,2)+VLOOKUP(C41,Calculations!$C$2:$D$7,2)+VLOOKUP(D41,Calculations!$E$2:$F$6,2)+VLOOKUP(E41,Calculations!$G$2:$H$6,2)</f>
        <v>1273</v>
      </c>
      <c r="B41" t="s">
        <v>52</v>
      </c>
      <c r="C41" t="s">
        <v>22</v>
      </c>
      <c r="D41" t="s">
        <v>14</v>
      </c>
      <c r="E41" t="s">
        <v>25</v>
      </c>
      <c r="F41">
        <v>0</v>
      </c>
      <c r="G41">
        <v>0</v>
      </c>
      <c r="H41">
        <f t="shared" si="0"/>
        <v>0</v>
      </c>
      <c r="I41">
        <v>0</v>
      </c>
      <c r="J41">
        <f t="shared" si="1"/>
        <v>0</v>
      </c>
      <c r="K41">
        <v>0</v>
      </c>
      <c r="L41">
        <f t="shared" si="2"/>
        <v>0</v>
      </c>
      <c r="M41">
        <v>0</v>
      </c>
      <c r="N41">
        <f t="shared" si="3"/>
        <v>0</v>
      </c>
    </row>
    <row r="42" spans="1:14" x14ac:dyDescent="0.25">
      <c r="A42">
        <f>VLOOKUP(B42,Calculations!$A$2:$B$10,2)+VLOOKUP(C42,Calculations!$C$2:$D$7,2)+VLOOKUP(D42,Calculations!$E$2:$F$6,2)+VLOOKUP(E42,Calculations!$G$2:$H$6,2)</f>
        <v>1274</v>
      </c>
      <c r="B42" t="s">
        <v>52</v>
      </c>
      <c r="C42" t="s">
        <v>22</v>
      </c>
      <c r="D42" t="s">
        <v>15</v>
      </c>
      <c r="E42" t="s">
        <v>25</v>
      </c>
      <c r="F42">
        <v>0</v>
      </c>
      <c r="G42">
        <v>0</v>
      </c>
      <c r="H42">
        <f t="shared" si="0"/>
        <v>0</v>
      </c>
      <c r="I42">
        <v>0</v>
      </c>
      <c r="J42">
        <f t="shared" si="1"/>
        <v>0</v>
      </c>
      <c r="K42">
        <v>0</v>
      </c>
      <c r="L42">
        <f t="shared" si="2"/>
        <v>0</v>
      </c>
      <c r="M42">
        <v>0</v>
      </c>
      <c r="N42">
        <f t="shared" si="3"/>
        <v>0</v>
      </c>
    </row>
    <row r="43" spans="1:14" x14ac:dyDescent="0.25">
      <c r="A43">
        <f>VLOOKUP(B43,Calculations!$A$2:$B$10,2)+VLOOKUP(C43,Calculations!$C$2:$D$7,2)+VLOOKUP(D43,Calculations!$E$2:$F$6,2)+VLOOKUP(E43,Calculations!$G$2:$H$6,2)</f>
        <v>1281</v>
      </c>
      <c r="B43" t="s">
        <v>8</v>
      </c>
      <c r="C43" t="s">
        <v>22</v>
      </c>
      <c r="D43" t="s">
        <v>54</v>
      </c>
      <c r="E43" t="s">
        <v>25</v>
      </c>
      <c r="F43">
        <v>0</v>
      </c>
      <c r="G43">
        <v>0</v>
      </c>
      <c r="H43">
        <f t="shared" si="0"/>
        <v>0</v>
      </c>
      <c r="I43">
        <v>0</v>
      </c>
      <c r="J43">
        <f t="shared" si="1"/>
        <v>0</v>
      </c>
      <c r="K43">
        <v>0</v>
      </c>
      <c r="L43">
        <f t="shared" si="2"/>
        <v>0</v>
      </c>
      <c r="M43">
        <v>0</v>
      </c>
      <c r="N43">
        <f t="shared" si="3"/>
        <v>0</v>
      </c>
    </row>
    <row r="44" spans="1:14" x14ac:dyDescent="0.25">
      <c r="A44">
        <f>VLOOKUP(B44,Calculations!$A$2:$B$10,2)+VLOOKUP(C44,Calculations!$C$2:$D$7,2)+VLOOKUP(D44,Calculations!$E$2:$F$6,2)+VLOOKUP(E44,Calculations!$G$2:$H$6,2)</f>
        <v>1282</v>
      </c>
      <c r="B44" t="s">
        <v>8</v>
      </c>
      <c r="C44" t="s">
        <v>22</v>
      </c>
      <c r="D44" t="s">
        <v>13</v>
      </c>
      <c r="E44" t="s">
        <v>25</v>
      </c>
      <c r="F44">
        <v>0</v>
      </c>
      <c r="G44">
        <v>0</v>
      </c>
      <c r="H44">
        <f t="shared" si="0"/>
        <v>0</v>
      </c>
      <c r="I44">
        <v>0</v>
      </c>
      <c r="J44">
        <f t="shared" si="1"/>
        <v>0</v>
      </c>
      <c r="K44">
        <v>0</v>
      </c>
      <c r="L44">
        <f t="shared" si="2"/>
        <v>0</v>
      </c>
      <c r="M44">
        <v>0</v>
      </c>
      <c r="N44">
        <f t="shared" si="3"/>
        <v>0</v>
      </c>
    </row>
    <row r="45" spans="1:14" x14ac:dyDescent="0.25">
      <c r="A45">
        <f>VLOOKUP(B45,Calculations!$A$2:$B$10,2)+VLOOKUP(C45,Calculations!$C$2:$D$7,2)+VLOOKUP(D45,Calculations!$E$2:$F$6,2)+VLOOKUP(E45,Calculations!$G$2:$H$6,2)</f>
        <v>1283</v>
      </c>
      <c r="B45" t="s">
        <v>8</v>
      </c>
      <c r="C45" t="s">
        <v>22</v>
      </c>
      <c r="D45" t="s">
        <v>14</v>
      </c>
      <c r="E45" t="s">
        <v>25</v>
      </c>
      <c r="F45">
        <v>0</v>
      </c>
      <c r="G45">
        <v>0</v>
      </c>
      <c r="H45">
        <f t="shared" si="0"/>
        <v>0</v>
      </c>
      <c r="I45">
        <v>0</v>
      </c>
      <c r="J45">
        <f t="shared" si="1"/>
        <v>0</v>
      </c>
      <c r="K45">
        <v>0</v>
      </c>
      <c r="L45">
        <f t="shared" si="2"/>
        <v>0</v>
      </c>
      <c r="M45">
        <v>0</v>
      </c>
      <c r="N45">
        <f t="shared" si="3"/>
        <v>0</v>
      </c>
    </row>
    <row r="46" spans="1:14" x14ac:dyDescent="0.25">
      <c r="A46">
        <f>VLOOKUP(B46,Calculations!$A$2:$B$10,2)+VLOOKUP(C46,Calculations!$C$2:$D$7,2)+VLOOKUP(D46,Calculations!$E$2:$F$6,2)+VLOOKUP(E46,Calculations!$G$2:$H$6,2)</f>
        <v>1284</v>
      </c>
      <c r="B46" t="s">
        <v>8</v>
      </c>
      <c r="C46" t="s">
        <v>22</v>
      </c>
      <c r="D46" t="s">
        <v>15</v>
      </c>
      <c r="E46" t="s">
        <v>25</v>
      </c>
      <c r="F46">
        <v>0</v>
      </c>
      <c r="G46">
        <v>0</v>
      </c>
      <c r="H46">
        <f t="shared" si="0"/>
        <v>0</v>
      </c>
      <c r="I46">
        <v>0</v>
      </c>
      <c r="J46">
        <f t="shared" si="1"/>
        <v>0</v>
      </c>
      <c r="K46">
        <v>0</v>
      </c>
      <c r="L46">
        <f t="shared" si="2"/>
        <v>0</v>
      </c>
      <c r="M46">
        <v>0</v>
      </c>
      <c r="N46">
        <f t="shared" si="3"/>
        <v>0</v>
      </c>
    </row>
    <row r="47" spans="1:14" x14ac:dyDescent="0.25">
      <c r="A47">
        <f>VLOOKUP(B47,Calculations!$A$2:$B$10,2)+VLOOKUP(C47,Calculations!$C$2:$D$7,2)+VLOOKUP(D47,Calculations!$E$2:$F$6,2)+VLOOKUP(E47,Calculations!$G$2:$H$6,2)</f>
        <v>1301</v>
      </c>
      <c r="B47" t="s">
        <v>5</v>
      </c>
      <c r="C47" t="s">
        <v>22</v>
      </c>
      <c r="D47" t="s">
        <v>54</v>
      </c>
      <c r="E47" t="s">
        <v>26</v>
      </c>
      <c r="F47">
        <v>1</v>
      </c>
      <c r="G47">
        <v>0</v>
      </c>
      <c r="H47">
        <f t="shared" si="0"/>
        <v>0</v>
      </c>
      <c r="I47">
        <v>0</v>
      </c>
      <c r="J47">
        <f t="shared" si="1"/>
        <v>0</v>
      </c>
      <c r="K47">
        <v>1</v>
      </c>
      <c r="L47">
        <f t="shared" si="2"/>
        <v>1301</v>
      </c>
      <c r="M47">
        <v>0</v>
      </c>
      <c r="N47">
        <f t="shared" si="3"/>
        <v>0</v>
      </c>
    </row>
    <row r="48" spans="1:14" x14ac:dyDescent="0.25">
      <c r="A48">
        <f>VLOOKUP(B48,Calculations!$A$2:$B$10,2)+VLOOKUP(C48,Calculations!$C$2:$D$7,2)+VLOOKUP(D48,Calculations!$E$2:$F$6,2)+VLOOKUP(E48,Calculations!$G$2:$H$6,2)</f>
        <v>1302</v>
      </c>
      <c r="B48" t="s">
        <v>5</v>
      </c>
      <c r="C48" t="s">
        <v>22</v>
      </c>
      <c r="D48" t="s">
        <v>13</v>
      </c>
      <c r="E48" t="s">
        <v>26</v>
      </c>
      <c r="F48">
        <v>1</v>
      </c>
      <c r="G48">
        <v>0</v>
      </c>
      <c r="H48">
        <f t="shared" si="0"/>
        <v>0</v>
      </c>
      <c r="I48">
        <v>0</v>
      </c>
      <c r="J48">
        <f t="shared" si="1"/>
        <v>0</v>
      </c>
      <c r="K48">
        <v>1</v>
      </c>
      <c r="L48">
        <f t="shared" si="2"/>
        <v>1302</v>
      </c>
      <c r="M48">
        <v>0</v>
      </c>
      <c r="N48">
        <f t="shared" si="3"/>
        <v>0</v>
      </c>
    </row>
    <row r="49" spans="1:14" x14ac:dyDescent="0.25">
      <c r="A49">
        <f>VLOOKUP(B49,Calculations!$A$2:$B$10,2)+VLOOKUP(C49,Calculations!$C$2:$D$7,2)+VLOOKUP(D49,Calculations!$E$2:$F$6,2)+VLOOKUP(E49,Calculations!$G$2:$H$6,2)</f>
        <v>1303</v>
      </c>
      <c r="B49" t="s">
        <v>5</v>
      </c>
      <c r="C49" t="s">
        <v>22</v>
      </c>
      <c r="D49" t="s">
        <v>14</v>
      </c>
      <c r="E49" t="s">
        <v>26</v>
      </c>
      <c r="F49">
        <v>0</v>
      </c>
      <c r="G49">
        <v>0</v>
      </c>
      <c r="H49">
        <f t="shared" si="0"/>
        <v>0</v>
      </c>
      <c r="I49">
        <v>0</v>
      </c>
      <c r="J49">
        <f t="shared" si="1"/>
        <v>0</v>
      </c>
      <c r="K49">
        <v>0</v>
      </c>
      <c r="L49">
        <f t="shared" si="2"/>
        <v>0</v>
      </c>
      <c r="M49">
        <v>0</v>
      </c>
      <c r="N49">
        <f t="shared" si="3"/>
        <v>0</v>
      </c>
    </row>
    <row r="50" spans="1:14" x14ac:dyDescent="0.25">
      <c r="A50">
        <f>VLOOKUP(B50,Calculations!$A$2:$B$10,2)+VLOOKUP(C50,Calculations!$C$2:$D$7,2)+VLOOKUP(D50,Calculations!$E$2:$F$6,2)+VLOOKUP(E50,Calculations!$G$2:$H$6,2)</f>
        <v>1304</v>
      </c>
      <c r="B50" t="s">
        <v>5</v>
      </c>
      <c r="C50" t="s">
        <v>22</v>
      </c>
      <c r="D50" t="s">
        <v>15</v>
      </c>
      <c r="E50" t="s">
        <v>26</v>
      </c>
      <c r="F50">
        <v>0</v>
      </c>
      <c r="G50">
        <v>0</v>
      </c>
      <c r="H50">
        <f t="shared" si="0"/>
        <v>0</v>
      </c>
      <c r="I50">
        <v>0</v>
      </c>
      <c r="J50">
        <f t="shared" si="1"/>
        <v>0</v>
      </c>
      <c r="K50">
        <v>0</v>
      </c>
      <c r="L50">
        <f t="shared" si="2"/>
        <v>0</v>
      </c>
      <c r="M50">
        <v>0</v>
      </c>
      <c r="N50">
        <f t="shared" si="3"/>
        <v>0</v>
      </c>
    </row>
    <row r="51" spans="1:14" x14ac:dyDescent="0.25">
      <c r="A51">
        <f>VLOOKUP(B51,Calculations!$A$2:$B$10,2)+VLOOKUP(C51,Calculations!$C$2:$D$7,2)+VLOOKUP(D51,Calculations!$E$2:$F$6,2)+VLOOKUP(E51,Calculations!$G$2:$H$6,2)</f>
        <v>1311</v>
      </c>
      <c r="B51" t="s">
        <v>6</v>
      </c>
      <c r="C51" t="s">
        <v>22</v>
      </c>
      <c r="D51" t="s">
        <v>54</v>
      </c>
      <c r="E51" t="s">
        <v>26</v>
      </c>
      <c r="F51">
        <v>1</v>
      </c>
      <c r="G51">
        <v>0</v>
      </c>
      <c r="H51">
        <f t="shared" si="0"/>
        <v>0</v>
      </c>
      <c r="I51">
        <v>0</v>
      </c>
      <c r="J51">
        <f t="shared" si="1"/>
        <v>0</v>
      </c>
      <c r="K51">
        <v>1</v>
      </c>
      <c r="L51">
        <f t="shared" si="2"/>
        <v>1311</v>
      </c>
      <c r="M51">
        <v>0</v>
      </c>
      <c r="N51">
        <f t="shared" si="3"/>
        <v>0</v>
      </c>
    </row>
    <row r="52" spans="1:14" x14ac:dyDescent="0.25">
      <c r="A52">
        <f>VLOOKUP(B52,Calculations!$A$2:$B$10,2)+VLOOKUP(C52,Calculations!$C$2:$D$7,2)+VLOOKUP(D52,Calculations!$E$2:$F$6,2)+VLOOKUP(E52,Calculations!$G$2:$H$6,2)</f>
        <v>1312</v>
      </c>
      <c r="B52" t="s">
        <v>6</v>
      </c>
      <c r="C52" t="s">
        <v>22</v>
      </c>
      <c r="D52" t="s">
        <v>13</v>
      </c>
      <c r="E52" t="s">
        <v>26</v>
      </c>
      <c r="F52">
        <v>1</v>
      </c>
      <c r="G52">
        <v>0</v>
      </c>
      <c r="H52">
        <f t="shared" si="0"/>
        <v>0</v>
      </c>
      <c r="I52">
        <v>0</v>
      </c>
      <c r="J52">
        <f t="shared" si="1"/>
        <v>0</v>
      </c>
      <c r="K52">
        <v>1</v>
      </c>
      <c r="L52">
        <f t="shared" si="2"/>
        <v>1312</v>
      </c>
      <c r="M52">
        <v>0</v>
      </c>
      <c r="N52">
        <f t="shared" si="3"/>
        <v>0</v>
      </c>
    </row>
    <row r="53" spans="1:14" x14ac:dyDescent="0.25">
      <c r="A53">
        <f>VLOOKUP(B53,Calculations!$A$2:$B$10,2)+VLOOKUP(C53,Calculations!$C$2:$D$7,2)+VLOOKUP(D53,Calculations!$E$2:$F$6,2)+VLOOKUP(E53,Calculations!$G$2:$H$6,2)</f>
        <v>1313</v>
      </c>
      <c r="B53" t="s">
        <v>6</v>
      </c>
      <c r="C53" t="s">
        <v>22</v>
      </c>
      <c r="D53" t="s">
        <v>14</v>
      </c>
      <c r="E53" t="s">
        <v>26</v>
      </c>
      <c r="F53">
        <v>0</v>
      </c>
      <c r="G53">
        <v>0</v>
      </c>
      <c r="H53">
        <f t="shared" si="0"/>
        <v>0</v>
      </c>
      <c r="I53">
        <v>0</v>
      </c>
      <c r="J53">
        <f t="shared" si="1"/>
        <v>0</v>
      </c>
      <c r="K53">
        <v>0</v>
      </c>
      <c r="L53">
        <f t="shared" si="2"/>
        <v>0</v>
      </c>
      <c r="M53">
        <v>0</v>
      </c>
      <c r="N53">
        <f t="shared" si="3"/>
        <v>0</v>
      </c>
    </row>
    <row r="54" spans="1:14" x14ac:dyDescent="0.25">
      <c r="A54">
        <f>VLOOKUP(B54,Calculations!$A$2:$B$10,2)+VLOOKUP(C54,Calculations!$C$2:$D$7,2)+VLOOKUP(D54,Calculations!$E$2:$F$6,2)+VLOOKUP(E54,Calculations!$G$2:$H$6,2)</f>
        <v>1314</v>
      </c>
      <c r="B54" t="s">
        <v>6</v>
      </c>
      <c r="C54" t="s">
        <v>22</v>
      </c>
      <c r="D54" t="s">
        <v>15</v>
      </c>
      <c r="E54" t="s">
        <v>26</v>
      </c>
      <c r="F54">
        <v>0</v>
      </c>
      <c r="G54">
        <v>0</v>
      </c>
      <c r="H54">
        <f t="shared" si="0"/>
        <v>0</v>
      </c>
      <c r="I54">
        <v>0</v>
      </c>
      <c r="J54">
        <f t="shared" si="1"/>
        <v>0</v>
      </c>
      <c r="K54">
        <v>0</v>
      </c>
      <c r="L54">
        <f t="shared" si="2"/>
        <v>0</v>
      </c>
      <c r="M54">
        <v>0</v>
      </c>
      <c r="N54">
        <f t="shared" si="3"/>
        <v>0</v>
      </c>
    </row>
    <row r="55" spans="1:14" x14ac:dyDescent="0.25">
      <c r="A55">
        <f>VLOOKUP(B55,Calculations!$A$2:$B$10,2)+VLOOKUP(C55,Calculations!$C$2:$D$7,2)+VLOOKUP(D55,Calculations!$E$2:$F$6,2)+VLOOKUP(E55,Calculations!$G$2:$H$6,2)</f>
        <v>1321</v>
      </c>
      <c r="B55" t="s">
        <v>7</v>
      </c>
      <c r="C55" t="s">
        <v>22</v>
      </c>
      <c r="D55" t="s">
        <v>54</v>
      </c>
      <c r="E55" t="s">
        <v>26</v>
      </c>
      <c r="F55">
        <v>0</v>
      </c>
      <c r="G55">
        <v>0</v>
      </c>
      <c r="H55">
        <f t="shared" si="0"/>
        <v>0</v>
      </c>
      <c r="I55">
        <v>0</v>
      </c>
      <c r="J55">
        <f t="shared" si="1"/>
        <v>0</v>
      </c>
      <c r="K55">
        <v>0</v>
      </c>
      <c r="L55">
        <f t="shared" si="2"/>
        <v>0</v>
      </c>
      <c r="M55">
        <v>0</v>
      </c>
      <c r="N55">
        <f t="shared" si="3"/>
        <v>0</v>
      </c>
    </row>
    <row r="56" spans="1:14" x14ac:dyDescent="0.25">
      <c r="A56">
        <f>VLOOKUP(B56,Calculations!$A$2:$B$10,2)+VLOOKUP(C56,Calculations!$C$2:$D$7,2)+VLOOKUP(D56,Calculations!$E$2:$F$6,2)+VLOOKUP(E56,Calculations!$G$2:$H$6,2)</f>
        <v>1322</v>
      </c>
      <c r="B56" t="s">
        <v>7</v>
      </c>
      <c r="C56" t="s">
        <v>22</v>
      </c>
      <c r="D56" t="s">
        <v>13</v>
      </c>
      <c r="E56" t="s">
        <v>26</v>
      </c>
      <c r="F56">
        <v>0</v>
      </c>
      <c r="G56">
        <v>0</v>
      </c>
      <c r="H56">
        <f t="shared" si="0"/>
        <v>0</v>
      </c>
      <c r="I56">
        <v>0</v>
      </c>
      <c r="J56">
        <f t="shared" si="1"/>
        <v>0</v>
      </c>
      <c r="K56">
        <v>0</v>
      </c>
      <c r="L56">
        <f t="shared" si="2"/>
        <v>0</v>
      </c>
      <c r="M56">
        <v>0</v>
      </c>
      <c r="N56">
        <f t="shared" si="3"/>
        <v>0</v>
      </c>
    </row>
    <row r="57" spans="1:14" x14ac:dyDescent="0.25">
      <c r="A57">
        <f>VLOOKUP(B57,Calculations!$A$2:$B$10,2)+VLOOKUP(C57,Calculations!$C$2:$D$7,2)+VLOOKUP(D57,Calculations!$E$2:$F$6,2)+VLOOKUP(E57,Calculations!$G$2:$H$6,2)</f>
        <v>1323</v>
      </c>
      <c r="B57" t="s">
        <v>7</v>
      </c>
      <c r="C57" t="s">
        <v>22</v>
      </c>
      <c r="D57" t="s">
        <v>14</v>
      </c>
      <c r="E57" t="s">
        <v>26</v>
      </c>
      <c r="F57">
        <v>0</v>
      </c>
      <c r="G57">
        <v>0</v>
      </c>
      <c r="H57">
        <f t="shared" si="0"/>
        <v>0</v>
      </c>
      <c r="I57">
        <v>0</v>
      </c>
      <c r="J57">
        <f t="shared" si="1"/>
        <v>0</v>
      </c>
      <c r="K57">
        <v>0</v>
      </c>
      <c r="L57">
        <f t="shared" si="2"/>
        <v>0</v>
      </c>
      <c r="M57">
        <v>0</v>
      </c>
      <c r="N57">
        <f t="shared" si="3"/>
        <v>0</v>
      </c>
    </row>
    <row r="58" spans="1:14" x14ac:dyDescent="0.25">
      <c r="A58">
        <f>VLOOKUP(B58,Calculations!$A$2:$B$10,2)+VLOOKUP(C58,Calculations!$C$2:$D$7,2)+VLOOKUP(D58,Calculations!$E$2:$F$6,2)+VLOOKUP(E58,Calculations!$G$2:$H$6,2)</f>
        <v>1324</v>
      </c>
      <c r="B58" t="s">
        <v>7</v>
      </c>
      <c r="C58" t="s">
        <v>22</v>
      </c>
      <c r="D58" t="s">
        <v>15</v>
      </c>
      <c r="E58" t="s">
        <v>26</v>
      </c>
      <c r="F58">
        <v>0</v>
      </c>
      <c r="G58">
        <v>0</v>
      </c>
      <c r="H58">
        <f t="shared" si="0"/>
        <v>0</v>
      </c>
      <c r="I58">
        <v>0</v>
      </c>
      <c r="J58">
        <f t="shared" si="1"/>
        <v>0</v>
      </c>
      <c r="K58">
        <v>0</v>
      </c>
      <c r="L58">
        <f t="shared" si="2"/>
        <v>0</v>
      </c>
      <c r="M58">
        <v>0</v>
      </c>
      <c r="N58">
        <f t="shared" si="3"/>
        <v>0</v>
      </c>
    </row>
    <row r="59" spans="1:14" x14ac:dyDescent="0.25">
      <c r="A59">
        <f>VLOOKUP(B59,Calculations!$A$2:$B$10,2)+VLOOKUP(C59,Calculations!$C$2:$D$7,2)+VLOOKUP(D59,Calculations!$E$2:$F$6,2)+VLOOKUP(E59,Calculations!$G$2:$H$6,2)</f>
        <v>1331</v>
      </c>
      <c r="B59" t="s">
        <v>53</v>
      </c>
      <c r="C59" t="s">
        <v>22</v>
      </c>
      <c r="D59" t="s">
        <v>54</v>
      </c>
      <c r="E59" t="s">
        <v>26</v>
      </c>
      <c r="F59">
        <v>0</v>
      </c>
      <c r="G59">
        <v>0</v>
      </c>
      <c r="H59">
        <f t="shared" si="0"/>
        <v>0</v>
      </c>
      <c r="I59">
        <v>0</v>
      </c>
      <c r="J59">
        <f t="shared" si="1"/>
        <v>0</v>
      </c>
      <c r="K59">
        <v>0</v>
      </c>
      <c r="L59">
        <f t="shared" si="2"/>
        <v>0</v>
      </c>
      <c r="M59">
        <v>0</v>
      </c>
      <c r="N59">
        <f t="shared" si="3"/>
        <v>0</v>
      </c>
    </row>
    <row r="60" spans="1:14" x14ac:dyDescent="0.25">
      <c r="A60">
        <f>VLOOKUP(B60,Calculations!$A$2:$B$10,2)+VLOOKUP(C60,Calculations!$C$2:$D$7,2)+VLOOKUP(D60,Calculations!$E$2:$F$6,2)+VLOOKUP(E60,Calculations!$G$2:$H$6,2)</f>
        <v>1332</v>
      </c>
      <c r="B60" t="s">
        <v>53</v>
      </c>
      <c r="C60" t="s">
        <v>22</v>
      </c>
      <c r="D60" t="s">
        <v>13</v>
      </c>
      <c r="E60" t="s">
        <v>26</v>
      </c>
      <c r="F60">
        <v>0</v>
      </c>
      <c r="G60">
        <v>0</v>
      </c>
      <c r="H60">
        <f t="shared" si="0"/>
        <v>0</v>
      </c>
      <c r="I60">
        <v>0</v>
      </c>
      <c r="J60">
        <f t="shared" si="1"/>
        <v>0</v>
      </c>
      <c r="K60">
        <v>0</v>
      </c>
      <c r="L60">
        <f t="shared" si="2"/>
        <v>0</v>
      </c>
      <c r="M60">
        <v>0</v>
      </c>
      <c r="N60">
        <f t="shared" si="3"/>
        <v>0</v>
      </c>
    </row>
    <row r="61" spans="1:14" x14ac:dyDescent="0.25">
      <c r="A61">
        <f>VLOOKUP(B61,Calculations!$A$2:$B$10,2)+VLOOKUP(C61,Calculations!$C$2:$D$7,2)+VLOOKUP(D61,Calculations!$E$2:$F$6,2)+VLOOKUP(E61,Calculations!$G$2:$H$6,2)</f>
        <v>1333</v>
      </c>
      <c r="B61" t="s">
        <v>53</v>
      </c>
      <c r="C61" t="s">
        <v>22</v>
      </c>
      <c r="D61" t="s">
        <v>14</v>
      </c>
      <c r="E61" t="s">
        <v>26</v>
      </c>
      <c r="F61">
        <v>0</v>
      </c>
      <c r="G61">
        <v>0</v>
      </c>
      <c r="H61">
        <f t="shared" si="0"/>
        <v>0</v>
      </c>
      <c r="I61">
        <v>0</v>
      </c>
      <c r="J61">
        <f t="shared" si="1"/>
        <v>0</v>
      </c>
      <c r="K61">
        <v>0</v>
      </c>
      <c r="L61">
        <f t="shared" si="2"/>
        <v>0</v>
      </c>
      <c r="M61">
        <v>0</v>
      </c>
      <c r="N61">
        <f t="shared" si="3"/>
        <v>0</v>
      </c>
    </row>
    <row r="62" spans="1:14" x14ac:dyDescent="0.25">
      <c r="A62">
        <f>VLOOKUP(B62,Calculations!$A$2:$B$10,2)+VLOOKUP(C62,Calculations!$C$2:$D$7,2)+VLOOKUP(D62,Calculations!$E$2:$F$6,2)+VLOOKUP(E62,Calculations!$G$2:$H$6,2)</f>
        <v>1334</v>
      </c>
      <c r="B62" t="s">
        <v>53</v>
      </c>
      <c r="C62" t="s">
        <v>22</v>
      </c>
      <c r="D62" t="s">
        <v>15</v>
      </c>
      <c r="E62" t="s">
        <v>26</v>
      </c>
      <c r="F62">
        <v>0</v>
      </c>
      <c r="G62">
        <v>0</v>
      </c>
      <c r="H62">
        <f t="shared" si="0"/>
        <v>0</v>
      </c>
      <c r="I62">
        <v>0</v>
      </c>
      <c r="J62">
        <f t="shared" si="1"/>
        <v>0</v>
      </c>
      <c r="K62">
        <v>0</v>
      </c>
      <c r="L62">
        <f t="shared" si="2"/>
        <v>0</v>
      </c>
      <c r="M62">
        <v>0</v>
      </c>
      <c r="N62">
        <f t="shared" si="3"/>
        <v>0</v>
      </c>
    </row>
    <row r="63" spans="1:14" x14ac:dyDescent="0.25">
      <c r="A63">
        <f>VLOOKUP(B63,Calculations!$A$2:$B$10,2)+VLOOKUP(C63,Calculations!$C$2:$D$7,2)+VLOOKUP(D63,Calculations!$E$2:$F$6,2)+VLOOKUP(E63,Calculations!$G$2:$H$6,2)</f>
        <v>1341</v>
      </c>
      <c r="B63" t="s">
        <v>9</v>
      </c>
      <c r="C63" t="s">
        <v>22</v>
      </c>
      <c r="D63" t="s">
        <v>54</v>
      </c>
      <c r="E63" t="s">
        <v>26</v>
      </c>
      <c r="F63">
        <v>0</v>
      </c>
      <c r="G63">
        <v>0</v>
      </c>
      <c r="H63">
        <f t="shared" si="0"/>
        <v>0</v>
      </c>
      <c r="I63">
        <v>0</v>
      </c>
      <c r="J63">
        <f t="shared" si="1"/>
        <v>0</v>
      </c>
      <c r="K63">
        <v>0</v>
      </c>
      <c r="L63">
        <f t="shared" si="2"/>
        <v>0</v>
      </c>
      <c r="M63">
        <v>0</v>
      </c>
      <c r="N63">
        <f t="shared" si="3"/>
        <v>0</v>
      </c>
    </row>
    <row r="64" spans="1:14" x14ac:dyDescent="0.25">
      <c r="A64">
        <f>VLOOKUP(B64,Calculations!$A$2:$B$10,2)+VLOOKUP(C64,Calculations!$C$2:$D$7,2)+VLOOKUP(D64,Calculations!$E$2:$F$6,2)+VLOOKUP(E64,Calculations!$G$2:$H$6,2)</f>
        <v>1342</v>
      </c>
      <c r="B64" t="s">
        <v>9</v>
      </c>
      <c r="C64" t="s">
        <v>22</v>
      </c>
      <c r="D64" t="s">
        <v>13</v>
      </c>
      <c r="E64" t="s">
        <v>26</v>
      </c>
      <c r="F64">
        <v>0</v>
      </c>
      <c r="G64">
        <v>0</v>
      </c>
      <c r="H64">
        <f t="shared" si="0"/>
        <v>0</v>
      </c>
      <c r="I64">
        <v>0</v>
      </c>
      <c r="J64">
        <f t="shared" si="1"/>
        <v>0</v>
      </c>
      <c r="K64">
        <v>0</v>
      </c>
      <c r="L64">
        <f t="shared" si="2"/>
        <v>0</v>
      </c>
      <c r="M64">
        <v>0</v>
      </c>
      <c r="N64">
        <f t="shared" si="3"/>
        <v>0</v>
      </c>
    </row>
    <row r="65" spans="1:14" x14ac:dyDescent="0.25">
      <c r="A65">
        <f>VLOOKUP(B65,Calculations!$A$2:$B$10,2)+VLOOKUP(C65,Calculations!$C$2:$D$7,2)+VLOOKUP(D65,Calculations!$E$2:$F$6,2)+VLOOKUP(E65,Calculations!$G$2:$H$6,2)</f>
        <v>1343</v>
      </c>
      <c r="B65" t="s">
        <v>9</v>
      </c>
      <c r="C65" t="s">
        <v>22</v>
      </c>
      <c r="D65" t="s">
        <v>14</v>
      </c>
      <c r="E65" t="s">
        <v>26</v>
      </c>
      <c r="F65">
        <v>0</v>
      </c>
      <c r="G65">
        <v>0</v>
      </c>
      <c r="H65">
        <f t="shared" si="0"/>
        <v>0</v>
      </c>
      <c r="I65">
        <v>0</v>
      </c>
      <c r="J65">
        <f t="shared" si="1"/>
        <v>0</v>
      </c>
      <c r="K65">
        <v>0</v>
      </c>
      <c r="L65">
        <f t="shared" si="2"/>
        <v>0</v>
      </c>
      <c r="M65">
        <v>0</v>
      </c>
      <c r="N65">
        <f t="shared" si="3"/>
        <v>0</v>
      </c>
    </row>
    <row r="66" spans="1:14" x14ac:dyDescent="0.25">
      <c r="A66">
        <f>VLOOKUP(B66,Calculations!$A$2:$B$10,2)+VLOOKUP(C66,Calculations!$C$2:$D$7,2)+VLOOKUP(D66,Calculations!$E$2:$F$6,2)+VLOOKUP(E66,Calculations!$G$2:$H$6,2)</f>
        <v>1344</v>
      </c>
      <c r="B66" t="s">
        <v>9</v>
      </c>
      <c r="C66" t="s">
        <v>22</v>
      </c>
      <c r="D66" t="s">
        <v>15</v>
      </c>
      <c r="E66" t="s">
        <v>26</v>
      </c>
      <c r="F66">
        <v>0</v>
      </c>
      <c r="G66">
        <v>0</v>
      </c>
      <c r="H66">
        <f t="shared" ref="H66:H129" si="4">A66*G66</f>
        <v>0</v>
      </c>
      <c r="I66">
        <v>0</v>
      </c>
      <c r="J66">
        <f t="shared" ref="J66:J129" si="5">A66*I66</f>
        <v>0</v>
      </c>
      <c r="K66">
        <v>0</v>
      </c>
      <c r="L66">
        <f t="shared" ref="L66:L129" si="6">K66*A66</f>
        <v>0</v>
      </c>
      <c r="M66">
        <v>0</v>
      </c>
      <c r="N66">
        <f t="shared" ref="N66:N129" si="7">A66*M66</f>
        <v>0</v>
      </c>
    </row>
    <row r="67" spans="1:14" x14ac:dyDescent="0.25">
      <c r="A67">
        <f>VLOOKUP(B67,Calculations!$A$2:$B$10,2)+VLOOKUP(C67,Calculations!$C$2:$D$7,2)+VLOOKUP(D67,Calculations!$E$2:$F$6,2)+VLOOKUP(E67,Calculations!$G$2:$H$6,2)</f>
        <v>1351</v>
      </c>
      <c r="B67" t="s">
        <v>50</v>
      </c>
      <c r="C67" t="s">
        <v>22</v>
      </c>
      <c r="D67" t="s">
        <v>54</v>
      </c>
      <c r="E67" t="s">
        <v>26</v>
      </c>
      <c r="F67">
        <v>0</v>
      </c>
      <c r="G67">
        <v>0</v>
      </c>
      <c r="H67">
        <f t="shared" si="4"/>
        <v>0</v>
      </c>
      <c r="I67">
        <v>0</v>
      </c>
      <c r="J67">
        <f t="shared" si="5"/>
        <v>0</v>
      </c>
      <c r="K67">
        <v>0</v>
      </c>
      <c r="L67">
        <f t="shared" si="6"/>
        <v>0</v>
      </c>
      <c r="M67">
        <v>0</v>
      </c>
      <c r="N67">
        <f t="shared" si="7"/>
        <v>0</v>
      </c>
    </row>
    <row r="68" spans="1:14" x14ac:dyDescent="0.25">
      <c r="A68">
        <f>VLOOKUP(B68,Calculations!$A$2:$B$10,2)+VLOOKUP(C68,Calculations!$C$2:$D$7,2)+VLOOKUP(D68,Calculations!$E$2:$F$6,2)+VLOOKUP(E68,Calculations!$G$2:$H$6,2)</f>
        <v>1352</v>
      </c>
      <c r="B68" t="s">
        <v>50</v>
      </c>
      <c r="C68" t="s">
        <v>22</v>
      </c>
      <c r="D68" t="s">
        <v>13</v>
      </c>
      <c r="E68" t="s">
        <v>26</v>
      </c>
      <c r="F68">
        <v>0</v>
      </c>
      <c r="G68">
        <v>0</v>
      </c>
      <c r="H68">
        <f t="shared" si="4"/>
        <v>0</v>
      </c>
      <c r="I68">
        <v>0</v>
      </c>
      <c r="J68">
        <f t="shared" si="5"/>
        <v>0</v>
      </c>
      <c r="K68">
        <v>0</v>
      </c>
      <c r="L68">
        <f t="shared" si="6"/>
        <v>0</v>
      </c>
      <c r="M68">
        <v>0</v>
      </c>
      <c r="N68">
        <f t="shared" si="7"/>
        <v>0</v>
      </c>
    </row>
    <row r="69" spans="1:14" x14ac:dyDescent="0.25">
      <c r="A69">
        <f>VLOOKUP(B69,Calculations!$A$2:$B$10,2)+VLOOKUP(C69,Calculations!$C$2:$D$7,2)+VLOOKUP(D69,Calculations!$E$2:$F$6,2)+VLOOKUP(E69,Calculations!$G$2:$H$6,2)</f>
        <v>1353</v>
      </c>
      <c r="B69" t="s">
        <v>50</v>
      </c>
      <c r="C69" t="s">
        <v>22</v>
      </c>
      <c r="D69" t="s">
        <v>14</v>
      </c>
      <c r="E69" t="s">
        <v>26</v>
      </c>
      <c r="F69">
        <v>0</v>
      </c>
      <c r="G69">
        <v>0</v>
      </c>
      <c r="H69">
        <f t="shared" si="4"/>
        <v>0</v>
      </c>
      <c r="I69">
        <v>0</v>
      </c>
      <c r="J69">
        <f t="shared" si="5"/>
        <v>0</v>
      </c>
      <c r="K69">
        <v>0</v>
      </c>
      <c r="L69">
        <f t="shared" si="6"/>
        <v>0</v>
      </c>
      <c r="M69">
        <v>0</v>
      </c>
      <c r="N69">
        <f t="shared" si="7"/>
        <v>0</v>
      </c>
    </row>
    <row r="70" spans="1:14" x14ac:dyDescent="0.25">
      <c r="A70">
        <f>VLOOKUP(B70,Calculations!$A$2:$B$10,2)+VLOOKUP(C70,Calculations!$C$2:$D$7,2)+VLOOKUP(D70,Calculations!$E$2:$F$6,2)+VLOOKUP(E70,Calculations!$G$2:$H$6,2)</f>
        <v>1354</v>
      </c>
      <c r="B70" t="s">
        <v>50</v>
      </c>
      <c r="C70" t="s">
        <v>22</v>
      </c>
      <c r="D70" t="s">
        <v>15</v>
      </c>
      <c r="E70" t="s">
        <v>26</v>
      </c>
      <c r="F70">
        <v>0</v>
      </c>
      <c r="G70">
        <v>0</v>
      </c>
      <c r="H70">
        <f t="shared" si="4"/>
        <v>0</v>
      </c>
      <c r="I70">
        <v>0</v>
      </c>
      <c r="J70">
        <f t="shared" si="5"/>
        <v>0</v>
      </c>
      <c r="K70">
        <v>0</v>
      </c>
      <c r="L70">
        <f t="shared" si="6"/>
        <v>0</v>
      </c>
      <c r="M70">
        <v>0</v>
      </c>
      <c r="N70">
        <f t="shared" si="7"/>
        <v>0</v>
      </c>
    </row>
    <row r="71" spans="1:14" x14ac:dyDescent="0.25">
      <c r="A71">
        <f>VLOOKUP(B71,Calculations!$A$2:$B$10,2)+VLOOKUP(C71,Calculations!$C$2:$D$7,2)+VLOOKUP(D71,Calculations!$E$2:$F$6,2)+VLOOKUP(E71,Calculations!$G$2:$H$6,2)</f>
        <v>1361</v>
      </c>
      <c r="B71" t="s">
        <v>51</v>
      </c>
      <c r="C71" t="s">
        <v>22</v>
      </c>
      <c r="D71" t="s">
        <v>54</v>
      </c>
      <c r="E71" t="s">
        <v>26</v>
      </c>
      <c r="F71">
        <v>0</v>
      </c>
      <c r="G71">
        <v>0</v>
      </c>
      <c r="H71">
        <f t="shared" si="4"/>
        <v>0</v>
      </c>
      <c r="I71">
        <v>0</v>
      </c>
      <c r="J71">
        <f t="shared" si="5"/>
        <v>0</v>
      </c>
      <c r="K71">
        <v>0</v>
      </c>
      <c r="L71">
        <f t="shared" si="6"/>
        <v>0</v>
      </c>
      <c r="M71">
        <v>0</v>
      </c>
      <c r="N71">
        <f t="shared" si="7"/>
        <v>0</v>
      </c>
    </row>
    <row r="72" spans="1:14" x14ac:dyDescent="0.25">
      <c r="A72">
        <f>VLOOKUP(B72,Calculations!$A$2:$B$10,2)+VLOOKUP(C72,Calculations!$C$2:$D$7,2)+VLOOKUP(D72,Calculations!$E$2:$F$6,2)+VLOOKUP(E72,Calculations!$G$2:$H$6,2)</f>
        <v>1362</v>
      </c>
      <c r="B72" t="s">
        <v>51</v>
      </c>
      <c r="C72" t="s">
        <v>22</v>
      </c>
      <c r="D72" t="s">
        <v>13</v>
      </c>
      <c r="E72" t="s">
        <v>26</v>
      </c>
      <c r="F72">
        <v>0</v>
      </c>
      <c r="G72">
        <v>0</v>
      </c>
      <c r="H72">
        <f t="shared" si="4"/>
        <v>0</v>
      </c>
      <c r="I72">
        <v>0</v>
      </c>
      <c r="J72">
        <f t="shared" si="5"/>
        <v>0</v>
      </c>
      <c r="K72">
        <v>0</v>
      </c>
      <c r="L72">
        <f t="shared" si="6"/>
        <v>0</v>
      </c>
      <c r="M72">
        <v>0</v>
      </c>
      <c r="N72">
        <f t="shared" si="7"/>
        <v>0</v>
      </c>
    </row>
    <row r="73" spans="1:14" x14ac:dyDescent="0.25">
      <c r="A73">
        <f>VLOOKUP(B73,Calculations!$A$2:$B$10,2)+VLOOKUP(C73,Calculations!$C$2:$D$7,2)+VLOOKUP(D73,Calculations!$E$2:$F$6,2)+VLOOKUP(E73,Calculations!$G$2:$H$6,2)</f>
        <v>1363</v>
      </c>
      <c r="B73" t="s">
        <v>51</v>
      </c>
      <c r="C73" t="s">
        <v>22</v>
      </c>
      <c r="D73" t="s">
        <v>14</v>
      </c>
      <c r="E73" t="s">
        <v>26</v>
      </c>
      <c r="F73">
        <v>0</v>
      </c>
      <c r="G73">
        <v>0</v>
      </c>
      <c r="H73">
        <f t="shared" si="4"/>
        <v>0</v>
      </c>
      <c r="I73">
        <v>0</v>
      </c>
      <c r="J73">
        <f t="shared" si="5"/>
        <v>0</v>
      </c>
      <c r="K73">
        <v>0</v>
      </c>
      <c r="L73">
        <f t="shared" si="6"/>
        <v>0</v>
      </c>
      <c r="M73">
        <v>0</v>
      </c>
      <c r="N73">
        <f t="shared" si="7"/>
        <v>0</v>
      </c>
    </row>
    <row r="74" spans="1:14" x14ac:dyDescent="0.25">
      <c r="A74">
        <f>VLOOKUP(B74,Calculations!$A$2:$B$10,2)+VLOOKUP(C74,Calculations!$C$2:$D$7,2)+VLOOKUP(D74,Calculations!$E$2:$F$6,2)+VLOOKUP(E74,Calculations!$G$2:$H$6,2)</f>
        <v>1364</v>
      </c>
      <c r="B74" t="s">
        <v>51</v>
      </c>
      <c r="C74" t="s">
        <v>22</v>
      </c>
      <c r="D74" t="s">
        <v>15</v>
      </c>
      <c r="E74" t="s">
        <v>26</v>
      </c>
      <c r="F74">
        <v>0</v>
      </c>
      <c r="G74">
        <v>0</v>
      </c>
      <c r="H74">
        <f t="shared" si="4"/>
        <v>0</v>
      </c>
      <c r="I74">
        <v>0</v>
      </c>
      <c r="J74">
        <f t="shared" si="5"/>
        <v>0</v>
      </c>
      <c r="K74">
        <v>0</v>
      </c>
      <c r="L74">
        <f t="shared" si="6"/>
        <v>0</v>
      </c>
      <c r="M74">
        <v>0</v>
      </c>
      <c r="N74">
        <f t="shared" si="7"/>
        <v>0</v>
      </c>
    </row>
    <row r="75" spans="1:14" x14ac:dyDescent="0.25">
      <c r="A75">
        <f>VLOOKUP(B75,Calculations!$A$2:$B$10,2)+VLOOKUP(C75,Calculations!$C$2:$D$7,2)+VLOOKUP(D75,Calculations!$E$2:$F$6,2)+VLOOKUP(E75,Calculations!$G$2:$H$6,2)</f>
        <v>1371</v>
      </c>
      <c r="B75" t="s">
        <v>52</v>
      </c>
      <c r="C75" t="s">
        <v>22</v>
      </c>
      <c r="D75" t="s">
        <v>54</v>
      </c>
      <c r="E75" t="s">
        <v>26</v>
      </c>
      <c r="F75">
        <v>0</v>
      </c>
      <c r="G75">
        <v>0</v>
      </c>
      <c r="H75">
        <f t="shared" si="4"/>
        <v>0</v>
      </c>
      <c r="I75">
        <v>0</v>
      </c>
      <c r="J75">
        <f t="shared" si="5"/>
        <v>0</v>
      </c>
      <c r="K75">
        <v>0</v>
      </c>
      <c r="L75">
        <f t="shared" si="6"/>
        <v>0</v>
      </c>
      <c r="M75">
        <v>0</v>
      </c>
      <c r="N75">
        <f t="shared" si="7"/>
        <v>0</v>
      </c>
    </row>
    <row r="76" spans="1:14" x14ac:dyDescent="0.25">
      <c r="A76">
        <f>VLOOKUP(B76,Calculations!$A$2:$B$10,2)+VLOOKUP(C76,Calculations!$C$2:$D$7,2)+VLOOKUP(D76,Calculations!$E$2:$F$6,2)+VLOOKUP(E76,Calculations!$G$2:$H$6,2)</f>
        <v>1372</v>
      </c>
      <c r="B76" t="s">
        <v>52</v>
      </c>
      <c r="C76" t="s">
        <v>22</v>
      </c>
      <c r="D76" t="s">
        <v>13</v>
      </c>
      <c r="E76" t="s">
        <v>26</v>
      </c>
      <c r="F76">
        <v>0</v>
      </c>
      <c r="G76">
        <v>0</v>
      </c>
      <c r="H76">
        <f t="shared" si="4"/>
        <v>0</v>
      </c>
      <c r="I76">
        <v>0</v>
      </c>
      <c r="J76">
        <f t="shared" si="5"/>
        <v>0</v>
      </c>
      <c r="K76">
        <v>0</v>
      </c>
      <c r="L76">
        <f t="shared" si="6"/>
        <v>0</v>
      </c>
      <c r="M76">
        <v>0</v>
      </c>
      <c r="N76">
        <f t="shared" si="7"/>
        <v>0</v>
      </c>
    </row>
    <row r="77" spans="1:14" x14ac:dyDescent="0.25">
      <c r="A77">
        <f>VLOOKUP(B77,Calculations!$A$2:$B$10,2)+VLOOKUP(C77,Calculations!$C$2:$D$7,2)+VLOOKUP(D77,Calculations!$E$2:$F$6,2)+VLOOKUP(E77,Calculations!$G$2:$H$6,2)</f>
        <v>1373</v>
      </c>
      <c r="B77" t="s">
        <v>52</v>
      </c>
      <c r="C77" t="s">
        <v>22</v>
      </c>
      <c r="D77" t="s">
        <v>14</v>
      </c>
      <c r="E77" t="s">
        <v>26</v>
      </c>
      <c r="F77">
        <v>0</v>
      </c>
      <c r="G77">
        <v>0</v>
      </c>
      <c r="H77">
        <f t="shared" si="4"/>
        <v>0</v>
      </c>
      <c r="I77">
        <v>0</v>
      </c>
      <c r="J77">
        <f t="shared" si="5"/>
        <v>0</v>
      </c>
      <c r="K77">
        <v>0</v>
      </c>
      <c r="L77">
        <f t="shared" si="6"/>
        <v>0</v>
      </c>
      <c r="M77">
        <v>0</v>
      </c>
      <c r="N77">
        <f t="shared" si="7"/>
        <v>0</v>
      </c>
    </row>
    <row r="78" spans="1:14" x14ac:dyDescent="0.25">
      <c r="A78">
        <f>VLOOKUP(B78,Calculations!$A$2:$B$10,2)+VLOOKUP(C78,Calculations!$C$2:$D$7,2)+VLOOKUP(D78,Calculations!$E$2:$F$6,2)+VLOOKUP(E78,Calculations!$G$2:$H$6,2)</f>
        <v>1374</v>
      </c>
      <c r="B78" t="s">
        <v>52</v>
      </c>
      <c r="C78" t="s">
        <v>22</v>
      </c>
      <c r="D78" t="s">
        <v>15</v>
      </c>
      <c r="E78" t="s">
        <v>26</v>
      </c>
      <c r="F78">
        <v>0</v>
      </c>
      <c r="G78">
        <v>0</v>
      </c>
      <c r="H78">
        <f t="shared" si="4"/>
        <v>0</v>
      </c>
      <c r="I78">
        <v>0</v>
      </c>
      <c r="J78">
        <f t="shared" si="5"/>
        <v>0</v>
      </c>
      <c r="K78">
        <v>0</v>
      </c>
      <c r="L78">
        <f t="shared" si="6"/>
        <v>0</v>
      </c>
      <c r="M78">
        <v>0</v>
      </c>
      <c r="N78">
        <f t="shared" si="7"/>
        <v>0</v>
      </c>
    </row>
    <row r="79" spans="1:14" x14ac:dyDescent="0.25">
      <c r="A79">
        <f>VLOOKUP(B79,Calculations!$A$2:$B$10,2)+VLOOKUP(C79,Calculations!$C$2:$D$7,2)+VLOOKUP(D79,Calculations!$E$2:$F$6,2)+VLOOKUP(E79,Calculations!$G$2:$H$6,2)</f>
        <v>1381</v>
      </c>
      <c r="B79" t="s">
        <v>8</v>
      </c>
      <c r="C79" t="s">
        <v>22</v>
      </c>
      <c r="D79" t="s">
        <v>54</v>
      </c>
      <c r="E79" t="s">
        <v>26</v>
      </c>
      <c r="F79">
        <v>0</v>
      </c>
      <c r="G79">
        <v>0</v>
      </c>
      <c r="H79">
        <f t="shared" si="4"/>
        <v>0</v>
      </c>
      <c r="I79">
        <v>0</v>
      </c>
      <c r="J79">
        <f t="shared" si="5"/>
        <v>0</v>
      </c>
      <c r="K79">
        <v>0</v>
      </c>
      <c r="L79">
        <f t="shared" si="6"/>
        <v>0</v>
      </c>
      <c r="M79">
        <v>0</v>
      </c>
      <c r="N79">
        <f t="shared" si="7"/>
        <v>0</v>
      </c>
    </row>
    <row r="80" spans="1:14" x14ac:dyDescent="0.25">
      <c r="A80">
        <f>VLOOKUP(B80,Calculations!$A$2:$B$10,2)+VLOOKUP(C80,Calculations!$C$2:$D$7,2)+VLOOKUP(D80,Calculations!$E$2:$F$6,2)+VLOOKUP(E80,Calculations!$G$2:$H$6,2)</f>
        <v>1382</v>
      </c>
      <c r="B80" t="s">
        <v>8</v>
      </c>
      <c r="C80" t="s">
        <v>22</v>
      </c>
      <c r="D80" t="s">
        <v>13</v>
      </c>
      <c r="E80" t="s">
        <v>26</v>
      </c>
      <c r="F80">
        <v>0</v>
      </c>
      <c r="G80">
        <v>0</v>
      </c>
      <c r="H80">
        <f t="shared" si="4"/>
        <v>0</v>
      </c>
      <c r="I80">
        <v>0</v>
      </c>
      <c r="J80">
        <f t="shared" si="5"/>
        <v>0</v>
      </c>
      <c r="K80">
        <v>0</v>
      </c>
      <c r="L80">
        <f t="shared" si="6"/>
        <v>0</v>
      </c>
      <c r="M80">
        <v>0</v>
      </c>
      <c r="N80">
        <f t="shared" si="7"/>
        <v>0</v>
      </c>
    </row>
    <row r="81" spans="1:14" x14ac:dyDescent="0.25">
      <c r="A81">
        <f>VLOOKUP(B81,Calculations!$A$2:$B$10,2)+VLOOKUP(C81,Calculations!$C$2:$D$7,2)+VLOOKUP(D81,Calculations!$E$2:$F$6,2)+VLOOKUP(E81,Calculations!$G$2:$H$6,2)</f>
        <v>1383</v>
      </c>
      <c r="B81" t="s">
        <v>8</v>
      </c>
      <c r="C81" t="s">
        <v>22</v>
      </c>
      <c r="D81" t="s">
        <v>14</v>
      </c>
      <c r="E81" t="s">
        <v>26</v>
      </c>
      <c r="F81">
        <v>0</v>
      </c>
      <c r="G81">
        <v>0</v>
      </c>
      <c r="H81">
        <f t="shared" si="4"/>
        <v>0</v>
      </c>
      <c r="I81">
        <v>0</v>
      </c>
      <c r="J81">
        <f t="shared" si="5"/>
        <v>0</v>
      </c>
      <c r="K81">
        <v>0</v>
      </c>
      <c r="L81">
        <f t="shared" si="6"/>
        <v>0</v>
      </c>
      <c r="M81">
        <v>0</v>
      </c>
      <c r="N81">
        <f t="shared" si="7"/>
        <v>0</v>
      </c>
    </row>
    <row r="82" spans="1:14" x14ac:dyDescent="0.25">
      <c r="A82">
        <f>VLOOKUP(B82,Calculations!$A$2:$B$10,2)+VLOOKUP(C82,Calculations!$C$2:$D$7,2)+VLOOKUP(D82,Calculations!$E$2:$F$6,2)+VLOOKUP(E82,Calculations!$G$2:$H$6,2)</f>
        <v>1384</v>
      </c>
      <c r="B82" t="s">
        <v>8</v>
      </c>
      <c r="C82" t="s">
        <v>22</v>
      </c>
      <c r="D82" t="s">
        <v>15</v>
      </c>
      <c r="E82" t="s">
        <v>26</v>
      </c>
      <c r="F82">
        <v>0</v>
      </c>
      <c r="G82">
        <v>0</v>
      </c>
      <c r="H82">
        <f t="shared" si="4"/>
        <v>0</v>
      </c>
      <c r="I82">
        <v>0</v>
      </c>
      <c r="J82">
        <f t="shared" si="5"/>
        <v>0</v>
      </c>
      <c r="K82">
        <v>0</v>
      </c>
      <c r="L82">
        <f t="shared" si="6"/>
        <v>0</v>
      </c>
      <c r="M82">
        <v>0</v>
      </c>
      <c r="N82">
        <f t="shared" si="7"/>
        <v>0</v>
      </c>
    </row>
    <row r="83" spans="1:14" x14ac:dyDescent="0.25">
      <c r="A83">
        <f>VLOOKUP(B83,Calculations!$A$2:$B$10,2)+VLOOKUP(C83,Calculations!$C$2:$D$7,2)+VLOOKUP(D83,Calculations!$E$2:$F$6,2)+VLOOKUP(E83,Calculations!$G$2:$H$6,2)</f>
        <v>1401</v>
      </c>
      <c r="B83" t="s">
        <v>5</v>
      </c>
      <c r="C83" t="s">
        <v>22</v>
      </c>
      <c r="D83" t="s">
        <v>54</v>
      </c>
      <c r="E83" t="s">
        <v>27</v>
      </c>
      <c r="F83">
        <v>1</v>
      </c>
      <c r="G83">
        <v>0</v>
      </c>
      <c r="H83">
        <f t="shared" si="4"/>
        <v>0</v>
      </c>
      <c r="I83">
        <v>0</v>
      </c>
      <c r="J83">
        <f t="shared" si="5"/>
        <v>0</v>
      </c>
      <c r="K83">
        <v>1</v>
      </c>
      <c r="L83">
        <f t="shared" si="6"/>
        <v>1401</v>
      </c>
      <c r="M83">
        <v>1</v>
      </c>
      <c r="N83">
        <f t="shared" si="7"/>
        <v>1401</v>
      </c>
    </row>
    <row r="84" spans="1:14" x14ac:dyDescent="0.25">
      <c r="A84">
        <f>VLOOKUP(B84,Calculations!$A$2:$B$10,2)+VLOOKUP(C84,Calculations!$C$2:$D$7,2)+VLOOKUP(D84,Calculations!$E$2:$F$6,2)+VLOOKUP(E84,Calculations!$G$2:$H$6,2)</f>
        <v>1402</v>
      </c>
      <c r="B84" t="s">
        <v>5</v>
      </c>
      <c r="C84" t="s">
        <v>22</v>
      </c>
      <c r="D84" t="s">
        <v>13</v>
      </c>
      <c r="E84" t="s">
        <v>27</v>
      </c>
      <c r="F84">
        <v>1</v>
      </c>
      <c r="G84">
        <v>0</v>
      </c>
      <c r="H84">
        <f t="shared" si="4"/>
        <v>0</v>
      </c>
      <c r="I84">
        <v>0</v>
      </c>
      <c r="J84">
        <f t="shared" si="5"/>
        <v>0</v>
      </c>
      <c r="K84">
        <v>1</v>
      </c>
      <c r="L84">
        <f t="shared" si="6"/>
        <v>1402</v>
      </c>
      <c r="M84">
        <v>1</v>
      </c>
      <c r="N84">
        <f t="shared" si="7"/>
        <v>1402</v>
      </c>
    </row>
    <row r="85" spans="1:14" x14ac:dyDescent="0.25">
      <c r="A85">
        <f>VLOOKUP(B85,Calculations!$A$2:$B$10,2)+VLOOKUP(C85,Calculations!$C$2:$D$7,2)+VLOOKUP(D85,Calculations!$E$2:$F$6,2)+VLOOKUP(E85,Calculations!$G$2:$H$6,2)</f>
        <v>1403</v>
      </c>
      <c r="B85" t="s">
        <v>5</v>
      </c>
      <c r="C85" t="s">
        <v>22</v>
      </c>
      <c r="D85" t="s">
        <v>14</v>
      </c>
      <c r="E85" t="s">
        <v>27</v>
      </c>
      <c r="F85">
        <v>0</v>
      </c>
      <c r="G85">
        <v>0</v>
      </c>
      <c r="H85">
        <f t="shared" si="4"/>
        <v>0</v>
      </c>
      <c r="I85">
        <v>0</v>
      </c>
      <c r="J85">
        <f t="shared" si="5"/>
        <v>0</v>
      </c>
      <c r="K85">
        <v>0</v>
      </c>
      <c r="L85">
        <f t="shared" si="6"/>
        <v>0</v>
      </c>
      <c r="M85">
        <v>0</v>
      </c>
      <c r="N85">
        <f t="shared" si="7"/>
        <v>0</v>
      </c>
    </row>
    <row r="86" spans="1:14" x14ac:dyDescent="0.25">
      <c r="A86">
        <f>VLOOKUP(B86,Calculations!$A$2:$B$10,2)+VLOOKUP(C86,Calculations!$C$2:$D$7,2)+VLOOKUP(D86,Calculations!$E$2:$F$6,2)+VLOOKUP(E86,Calculations!$G$2:$H$6,2)</f>
        <v>1404</v>
      </c>
      <c r="B86" t="s">
        <v>5</v>
      </c>
      <c r="C86" t="s">
        <v>22</v>
      </c>
      <c r="D86" t="s">
        <v>15</v>
      </c>
      <c r="E86" t="s">
        <v>27</v>
      </c>
      <c r="F86">
        <v>0</v>
      </c>
      <c r="G86">
        <v>0</v>
      </c>
      <c r="H86">
        <f t="shared" si="4"/>
        <v>0</v>
      </c>
      <c r="I86">
        <v>0</v>
      </c>
      <c r="J86">
        <f t="shared" si="5"/>
        <v>0</v>
      </c>
      <c r="K86">
        <v>0</v>
      </c>
      <c r="L86">
        <f t="shared" si="6"/>
        <v>0</v>
      </c>
      <c r="M86">
        <v>0</v>
      </c>
      <c r="N86">
        <f t="shared" si="7"/>
        <v>0</v>
      </c>
    </row>
    <row r="87" spans="1:14" x14ac:dyDescent="0.25">
      <c r="A87">
        <f>VLOOKUP(B87,Calculations!$A$2:$B$10,2)+VLOOKUP(C87,Calculations!$C$2:$D$7,2)+VLOOKUP(D87,Calculations!$E$2:$F$6,2)+VLOOKUP(E87,Calculations!$G$2:$H$6,2)</f>
        <v>1411</v>
      </c>
      <c r="B87" t="s">
        <v>6</v>
      </c>
      <c r="C87" t="s">
        <v>22</v>
      </c>
      <c r="D87" t="s">
        <v>54</v>
      </c>
      <c r="E87" t="s">
        <v>27</v>
      </c>
      <c r="F87">
        <v>1</v>
      </c>
      <c r="G87">
        <v>0</v>
      </c>
      <c r="H87">
        <f t="shared" si="4"/>
        <v>0</v>
      </c>
      <c r="I87">
        <v>0</v>
      </c>
      <c r="J87">
        <f t="shared" si="5"/>
        <v>0</v>
      </c>
      <c r="K87">
        <v>1</v>
      </c>
      <c r="L87">
        <f t="shared" si="6"/>
        <v>1411</v>
      </c>
      <c r="M87">
        <v>1</v>
      </c>
      <c r="N87">
        <f t="shared" si="7"/>
        <v>1411</v>
      </c>
    </row>
    <row r="88" spans="1:14" x14ac:dyDescent="0.25">
      <c r="A88">
        <f>VLOOKUP(B88,Calculations!$A$2:$B$10,2)+VLOOKUP(C88,Calculations!$C$2:$D$7,2)+VLOOKUP(D88,Calculations!$E$2:$F$6,2)+VLOOKUP(E88,Calculations!$G$2:$H$6,2)</f>
        <v>1412</v>
      </c>
      <c r="B88" t="s">
        <v>6</v>
      </c>
      <c r="C88" t="s">
        <v>22</v>
      </c>
      <c r="D88" t="s">
        <v>13</v>
      </c>
      <c r="E88" t="s">
        <v>27</v>
      </c>
      <c r="F88">
        <v>1</v>
      </c>
      <c r="G88">
        <v>0</v>
      </c>
      <c r="H88">
        <f t="shared" si="4"/>
        <v>0</v>
      </c>
      <c r="I88">
        <v>0</v>
      </c>
      <c r="J88">
        <f t="shared" si="5"/>
        <v>0</v>
      </c>
      <c r="K88">
        <v>1</v>
      </c>
      <c r="L88">
        <f t="shared" si="6"/>
        <v>1412</v>
      </c>
      <c r="M88">
        <v>1</v>
      </c>
      <c r="N88">
        <f t="shared" si="7"/>
        <v>1412</v>
      </c>
    </row>
    <row r="89" spans="1:14" x14ac:dyDescent="0.25">
      <c r="A89">
        <f>VLOOKUP(B89,Calculations!$A$2:$B$10,2)+VLOOKUP(C89,Calculations!$C$2:$D$7,2)+VLOOKUP(D89,Calculations!$E$2:$F$6,2)+VLOOKUP(E89,Calculations!$G$2:$H$6,2)</f>
        <v>1413</v>
      </c>
      <c r="B89" t="s">
        <v>6</v>
      </c>
      <c r="C89" t="s">
        <v>22</v>
      </c>
      <c r="D89" t="s">
        <v>14</v>
      </c>
      <c r="E89" t="s">
        <v>27</v>
      </c>
      <c r="F89">
        <v>0</v>
      </c>
      <c r="G89">
        <v>0</v>
      </c>
      <c r="H89">
        <f t="shared" si="4"/>
        <v>0</v>
      </c>
      <c r="I89">
        <v>0</v>
      </c>
      <c r="J89">
        <f t="shared" si="5"/>
        <v>0</v>
      </c>
      <c r="K89">
        <v>0</v>
      </c>
      <c r="L89">
        <f t="shared" si="6"/>
        <v>0</v>
      </c>
      <c r="M89">
        <v>0</v>
      </c>
      <c r="N89">
        <f t="shared" si="7"/>
        <v>0</v>
      </c>
    </row>
    <row r="90" spans="1:14" x14ac:dyDescent="0.25">
      <c r="A90">
        <f>VLOOKUP(B90,Calculations!$A$2:$B$10,2)+VLOOKUP(C90,Calculations!$C$2:$D$7,2)+VLOOKUP(D90,Calculations!$E$2:$F$6,2)+VLOOKUP(E90,Calculations!$G$2:$H$6,2)</f>
        <v>1414</v>
      </c>
      <c r="B90" t="s">
        <v>6</v>
      </c>
      <c r="C90" t="s">
        <v>22</v>
      </c>
      <c r="D90" t="s">
        <v>15</v>
      </c>
      <c r="E90" t="s">
        <v>27</v>
      </c>
      <c r="F90">
        <v>0</v>
      </c>
      <c r="G90">
        <v>0</v>
      </c>
      <c r="H90">
        <f t="shared" si="4"/>
        <v>0</v>
      </c>
      <c r="I90">
        <v>0</v>
      </c>
      <c r="J90">
        <f t="shared" si="5"/>
        <v>0</v>
      </c>
      <c r="K90">
        <v>0</v>
      </c>
      <c r="L90">
        <f t="shared" si="6"/>
        <v>0</v>
      </c>
      <c r="M90">
        <v>0</v>
      </c>
      <c r="N90">
        <f t="shared" si="7"/>
        <v>0</v>
      </c>
    </row>
    <row r="91" spans="1:14" x14ac:dyDescent="0.25">
      <c r="A91">
        <f>VLOOKUP(B91,Calculations!$A$2:$B$10,2)+VLOOKUP(C91,Calculations!$C$2:$D$7,2)+VLOOKUP(D91,Calculations!$E$2:$F$6,2)+VLOOKUP(E91,Calculations!$G$2:$H$6,2)</f>
        <v>1421</v>
      </c>
      <c r="B91" t="s">
        <v>7</v>
      </c>
      <c r="C91" t="s">
        <v>22</v>
      </c>
      <c r="D91" t="s">
        <v>54</v>
      </c>
      <c r="E91" t="s">
        <v>27</v>
      </c>
      <c r="F91">
        <v>0</v>
      </c>
      <c r="G91">
        <v>0</v>
      </c>
      <c r="H91">
        <f t="shared" si="4"/>
        <v>0</v>
      </c>
      <c r="I91">
        <v>0</v>
      </c>
      <c r="J91">
        <f t="shared" si="5"/>
        <v>0</v>
      </c>
      <c r="K91">
        <v>0</v>
      </c>
      <c r="L91">
        <f t="shared" si="6"/>
        <v>0</v>
      </c>
      <c r="M91">
        <v>0</v>
      </c>
      <c r="N91">
        <f t="shared" si="7"/>
        <v>0</v>
      </c>
    </row>
    <row r="92" spans="1:14" x14ac:dyDescent="0.25">
      <c r="A92">
        <f>VLOOKUP(B92,Calculations!$A$2:$B$10,2)+VLOOKUP(C92,Calculations!$C$2:$D$7,2)+VLOOKUP(D92,Calculations!$E$2:$F$6,2)+VLOOKUP(E92,Calculations!$G$2:$H$6,2)</f>
        <v>1422</v>
      </c>
      <c r="B92" t="s">
        <v>7</v>
      </c>
      <c r="C92" t="s">
        <v>22</v>
      </c>
      <c r="D92" t="s">
        <v>13</v>
      </c>
      <c r="E92" t="s">
        <v>27</v>
      </c>
      <c r="F92">
        <v>0</v>
      </c>
      <c r="G92">
        <v>0</v>
      </c>
      <c r="H92">
        <f t="shared" si="4"/>
        <v>0</v>
      </c>
      <c r="I92">
        <v>0</v>
      </c>
      <c r="J92">
        <f t="shared" si="5"/>
        <v>0</v>
      </c>
      <c r="K92">
        <v>0</v>
      </c>
      <c r="L92">
        <f t="shared" si="6"/>
        <v>0</v>
      </c>
      <c r="M92">
        <v>0</v>
      </c>
      <c r="N92">
        <f t="shared" si="7"/>
        <v>0</v>
      </c>
    </row>
    <row r="93" spans="1:14" x14ac:dyDescent="0.25">
      <c r="A93">
        <f>VLOOKUP(B93,Calculations!$A$2:$B$10,2)+VLOOKUP(C93,Calculations!$C$2:$D$7,2)+VLOOKUP(D93,Calculations!$E$2:$F$6,2)+VLOOKUP(E93,Calculations!$G$2:$H$6,2)</f>
        <v>1423</v>
      </c>
      <c r="B93" t="s">
        <v>7</v>
      </c>
      <c r="C93" t="s">
        <v>22</v>
      </c>
      <c r="D93" t="s">
        <v>14</v>
      </c>
      <c r="E93" t="s">
        <v>27</v>
      </c>
      <c r="F93">
        <v>0</v>
      </c>
      <c r="G93">
        <v>0</v>
      </c>
      <c r="H93">
        <f t="shared" si="4"/>
        <v>0</v>
      </c>
      <c r="I93">
        <v>0</v>
      </c>
      <c r="J93">
        <f t="shared" si="5"/>
        <v>0</v>
      </c>
      <c r="K93">
        <v>0</v>
      </c>
      <c r="L93">
        <f t="shared" si="6"/>
        <v>0</v>
      </c>
      <c r="M93">
        <v>0</v>
      </c>
      <c r="N93">
        <f t="shared" si="7"/>
        <v>0</v>
      </c>
    </row>
    <row r="94" spans="1:14" x14ac:dyDescent="0.25">
      <c r="A94">
        <f>VLOOKUP(B94,Calculations!$A$2:$B$10,2)+VLOOKUP(C94,Calculations!$C$2:$D$7,2)+VLOOKUP(D94,Calculations!$E$2:$F$6,2)+VLOOKUP(E94,Calculations!$G$2:$H$6,2)</f>
        <v>1424</v>
      </c>
      <c r="B94" t="s">
        <v>7</v>
      </c>
      <c r="C94" t="s">
        <v>22</v>
      </c>
      <c r="D94" t="s">
        <v>15</v>
      </c>
      <c r="E94" t="s">
        <v>27</v>
      </c>
      <c r="F94">
        <v>0</v>
      </c>
      <c r="G94">
        <v>0</v>
      </c>
      <c r="H94">
        <f t="shared" si="4"/>
        <v>0</v>
      </c>
      <c r="I94">
        <v>0</v>
      </c>
      <c r="J94">
        <f t="shared" si="5"/>
        <v>0</v>
      </c>
      <c r="K94">
        <v>0</v>
      </c>
      <c r="L94">
        <f t="shared" si="6"/>
        <v>0</v>
      </c>
      <c r="M94">
        <v>0</v>
      </c>
      <c r="N94">
        <f t="shared" si="7"/>
        <v>0</v>
      </c>
    </row>
    <row r="95" spans="1:14" x14ac:dyDescent="0.25">
      <c r="A95">
        <f>VLOOKUP(B95,Calculations!$A$2:$B$10,2)+VLOOKUP(C95,Calculations!$C$2:$D$7,2)+VLOOKUP(D95,Calculations!$E$2:$F$6,2)+VLOOKUP(E95,Calculations!$G$2:$H$6,2)</f>
        <v>1431</v>
      </c>
      <c r="B95" t="s">
        <v>53</v>
      </c>
      <c r="C95" t="s">
        <v>22</v>
      </c>
      <c r="D95" t="s">
        <v>54</v>
      </c>
      <c r="E95" t="s">
        <v>27</v>
      </c>
      <c r="F95">
        <v>0</v>
      </c>
      <c r="G95">
        <v>0</v>
      </c>
      <c r="H95">
        <f t="shared" si="4"/>
        <v>0</v>
      </c>
      <c r="I95">
        <v>0</v>
      </c>
      <c r="J95">
        <f t="shared" si="5"/>
        <v>0</v>
      </c>
      <c r="K95">
        <v>0</v>
      </c>
      <c r="L95">
        <f t="shared" si="6"/>
        <v>0</v>
      </c>
      <c r="M95">
        <v>0</v>
      </c>
      <c r="N95">
        <f t="shared" si="7"/>
        <v>0</v>
      </c>
    </row>
    <row r="96" spans="1:14" x14ac:dyDescent="0.25">
      <c r="A96">
        <f>VLOOKUP(B96,Calculations!$A$2:$B$10,2)+VLOOKUP(C96,Calculations!$C$2:$D$7,2)+VLOOKUP(D96,Calculations!$E$2:$F$6,2)+VLOOKUP(E96,Calculations!$G$2:$H$6,2)</f>
        <v>1432</v>
      </c>
      <c r="B96" t="s">
        <v>53</v>
      </c>
      <c r="C96" t="s">
        <v>22</v>
      </c>
      <c r="D96" t="s">
        <v>13</v>
      </c>
      <c r="E96" t="s">
        <v>27</v>
      </c>
      <c r="F96">
        <v>0</v>
      </c>
      <c r="G96">
        <v>0</v>
      </c>
      <c r="H96">
        <f t="shared" si="4"/>
        <v>0</v>
      </c>
      <c r="I96">
        <v>0</v>
      </c>
      <c r="J96">
        <f t="shared" si="5"/>
        <v>0</v>
      </c>
      <c r="K96">
        <v>0</v>
      </c>
      <c r="L96">
        <f t="shared" si="6"/>
        <v>0</v>
      </c>
      <c r="M96">
        <v>0</v>
      </c>
      <c r="N96">
        <f t="shared" si="7"/>
        <v>0</v>
      </c>
    </row>
    <row r="97" spans="1:14" x14ac:dyDescent="0.25">
      <c r="A97">
        <f>VLOOKUP(B97,Calculations!$A$2:$B$10,2)+VLOOKUP(C97,Calculations!$C$2:$D$7,2)+VLOOKUP(D97,Calculations!$E$2:$F$6,2)+VLOOKUP(E97,Calculations!$G$2:$H$6,2)</f>
        <v>1433</v>
      </c>
      <c r="B97" t="s">
        <v>53</v>
      </c>
      <c r="C97" t="s">
        <v>22</v>
      </c>
      <c r="D97" t="s">
        <v>14</v>
      </c>
      <c r="E97" t="s">
        <v>27</v>
      </c>
      <c r="F97">
        <v>0</v>
      </c>
      <c r="G97">
        <v>0</v>
      </c>
      <c r="H97">
        <f t="shared" si="4"/>
        <v>0</v>
      </c>
      <c r="I97">
        <v>0</v>
      </c>
      <c r="J97">
        <f t="shared" si="5"/>
        <v>0</v>
      </c>
      <c r="K97">
        <v>0</v>
      </c>
      <c r="L97">
        <f t="shared" si="6"/>
        <v>0</v>
      </c>
      <c r="M97">
        <v>0</v>
      </c>
      <c r="N97">
        <f t="shared" si="7"/>
        <v>0</v>
      </c>
    </row>
    <row r="98" spans="1:14" x14ac:dyDescent="0.25">
      <c r="A98">
        <f>VLOOKUP(B98,Calculations!$A$2:$B$10,2)+VLOOKUP(C98,Calculations!$C$2:$D$7,2)+VLOOKUP(D98,Calculations!$E$2:$F$6,2)+VLOOKUP(E98,Calculations!$G$2:$H$6,2)</f>
        <v>1434</v>
      </c>
      <c r="B98" t="s">
        <v>53</v>
      </c>
      <c r="C98" t="s">
        <v>22</v>
      </c>
      <c r="D98" t="s">
        <v>15</v>
      </c>
      <c r="E98" t="s">
        <v>27</v>
      </c>
      <c r="F98">
        <v>0</v>
      </c>
      <c r="G98">
        <v>0</v>
      </c>
      <c r="H98">
        <f t="shared" si="4"/>
        <v>0</v>
      </c>
      <c r="I98">
        <v>0</v>
      </c>
      <c r="J98">
        <f t="shared" si="5"/>
        <v>0</v>
      </c>
      <c r="K98">
        <v>0</v>
      </c>
      <c r="L98">
        <f t="shared" si="6"/>
        <v>0</v>
      </c>
      <c r="M98">
        <v>0</v>
      </c>
      <c r="N98">
        <f t="shared" si="7"/>
        <v>0</v>
      </c>
    </row>
    <row r="99" spans="1:14" x14ac:dyDescent="0.25">
      <c r="A99">
        <f>VLOOKUP(B99,Calculations!$A$2:$B$10,2)+VLOOKUP(C99,Calculations!$C$2:$D$7,2)+VLOOKUP(D99,Calculations!$E$2:$F$6,2)+VLOOKUP(E99,Calculations!$G$2:$H$6,2)</f>
        <v>1441</v>
      </c>
      <c r="B99" t="s">
        <v>9</v>
      </c>
      <c r="C99" t="s">
        <v>22</v>
      </c>
      <c r="D99" t="s">
        <v>54</v>
      </c>
      <c r="E99" t="s">
        <v>27</v>
      </c>
      <c r="F99">
        <v>0</v>
      </c>
      <c r="G99">
        <v>0</v>
      </c>
      <c r="H99">
        <f t="shared" si="4"/>
        <v>0</v>
      </c>
      <c r="I99">
        <v>0</v>
      </c>
      <c r="J99">
        <f t="shared" si="5"/>
        <v>0</v>
      </c>
      <c r="K99">
        <v>0</v>
      </c>
      <c r="L99">
        <f t="shared" si="6"/>
        <v>0</v>
      </c>
      <c r="M99">
        <v>0</v>
      </c>
      <c r="N99">
        <f t="shared" si="7"/>
        <v>0</v>
      </c>
    </row>
    <row r="100" spans="1:14" x14ac:dyDescent="0.25">
      <c r="A100">
        <f>VLOOKUP(B100,Calculations!$A$2:$B$10,2)+VLOOKUP(C100,Calculations!$C$2:$D$7,2)+VLOOKUP(D100,Calculations!$E$2:$F$6,2)+VLOOKUP(E100,Calculations!$G$2:$H$6,2)</f>
        <v>1442</v>
      </c>
      <c r="B100" t="s">
        <v>9</v>
      </c>
      <c r="C100" t="s">
        <v>22</v>
      </c>
      <c r="D100" t="s">
        <v>13</v>
      </c>
      <c r="E100" t="s">
        <v>27</v>
      </c>
      <c r="F100">
        <v>0</v>
      </c>
      <c r="G100">
        <v>0</v>
      </c>
      <c r="H100">
        <f t="shared" si="4"/>
        <v>0</v>
      </c>
      <c r="I100">
        <v>0</v>
      </c>
      <c r="J100">
        <f t="shared" si="5"/>
        <v>0</v>
      </c>
      <c r="K100">
        <v>0</v>
      </c>
      <c r="L100">
        <f t="shared" si="6"/>
        <v>0</v>
      </c>
      <c r="M100">
        <v>0</v>
      </c>
      <c r="N100">
        <f t="shared" si="7"/>
        <v>0</v>
      </c>
    </row>
    <row r="101" spans="1:14" x14ac:dyDescent="0.25">
      <c r="A101">
        <f>VLOOKUP(B101,Calculations!$A$2:$B$10,2)+VLOOKUP(C101,Calculations!$C$2:$D$7,2)+VLOOKUP(D101,Calculations!$E$2:$F$6,2)+VLOOKUP(E101,Calculations!$G$2:$H$6,2)</f>
        <v>1443</v>
      </c>
      <c r="B101" t="s">
        <v>9</v>
      </c>
      <c r="C101" t="s">
        <v>22</v>
      </c>
      <c r="D101" t="s">
        <v>14</v>
      </c>
      <c r="E101" t="s">
        <v>27</v>
      </c>
      <c r="F101">
        <v>0</v>
      </c>
      <c r="G101">
        <v>0</v>
      </c>
      <c r="H101">
        <f t="shared" si="4"/>
        <v>0</v>
      </c>
      <c r="I101">
        <v>0</v>
      </c>
      <c r="J101">
        <f t="shared" si="5"/>
        <v>0</v>
      </c>
      <c r="K101">
        <v>0</v>
      </c>
      <c r="L101">
        <f t="shared" si="6"/>
        <v>0</v>
      </c>
      <c r="M101">
        <v>0</v>
      </c>
      <c r="N101">
        <f t="shared" si="7"/>
        <v>0</v>
      </c>
    </row>
    <row r="102" spans="1:14" x14ac:dyDescent="0.25">
      <c r="A102">
        <f>VLOOKUP(B102,Calculations!$A$2:$B$10,2)+VLOOKUP(C102,Calculations!$C$2:$D$7,2)+VLOOKUP(D102,Calculations!$E$2:$F$6,2)+VLOOKUP(E102,Calculations!$G$2:$H$6,2)</f>
        <v>1444</v>
      </c>
      <c r="B102" t="s">
        <v>9</v>
      </c>
      <c r="C102" t="s">
        <v>22</v>
      </c>
      <c r="D102" t="s">
        <v>15</v>
      </c>
      <c r="E102" t="s">
        <v>27</v>
      </c>
      <c r="F102">
        <v>0</v>
      </c>
      <c r="G102">
        <v>0</v>
      </c>
      <c r="H102">
        <f t="shared" si="4"/>
        <v>0</v>
      </c>
      <c r="I102">
        <v>0</v>
      </c>
      <c r="J102">
        <f t="shared" si="5"/>
        <v>0</v>
      </c>
      <c r="K102">
        <v>0</v>
      </c>
      <c r="L102">
        <f t="shared" si="6"/>
        <v>0</v>
      </c>
      <c r="M102">
        <v>0</v>
      </c>
      <c r="N102">
        <f t="shared" si="7"/>
        <v>0</v>
      </c>
    </row>
    <row r="103" spans="1:14" x14ac:dyDescent="0.25">
      <c r="A103">
        <f>VLOOKUP(B103,Calculations!$A$2:$B$10,2)+VLOOKUP(C103,Calculations!$C$2:$D$7,2)+VLOOKUP(D103,Calculations!$E$2:$F$6,2)+VLOOKUP(E103,Calculations!$G$2:$H$6,2)</f>
        <v>1451</v>
      </c>
      <c r="B103" t="s">
        <v>50</v>
      </c>
      <c r="C103" t="s">
        <v>22</v>
      </c>
      <c r="D103" t="s">
        <v>54</v>
      </c>
      <c r="E103" t="s">
        <v>27</v>
      </c>
      <c r="F103">
        <v>0</v>
      </c>
      <c r="G103">
        <v>0</v>
      </c>
      <c r="H103">
        <f t="shared" si="4"/>
        <v>0</v>
      </c>
      <c r="I103">
        <v>0</v>
      </c>
      <c r="J103">
        <f t="shared" si="5"/>
        <v>0</v>
      </c>
      <c r="K103">
        <v>0</v>
      </c>
      <c r="L103">
        <f t="shared" si="6"/>
        <v>0</v>
      </c>
      <c r="M103">
        <v>0</v>
      </c>
      <c r="N103">
        <f t="shared" si="7"/>
        <v>0</v>
      </c>
    </row>
    <row r="104" spans="1:14" x14ac:dyDescent="0.25">
      <c r="A104">
        <f>VLOOKUP(B104,Calculations!$A$2:$B$10,2)+VLOOKUP(C104,Calculations!$C$2:$D$7,2)+VLOOKUP(D104,Calculations!$E$2:$F$6,2)+VLOOKUP(E104,Calculations!$G$2:$H$6,2)</f>
        <v>1452</v>
      </c>
      <c r="B104" t="s">
        <v>50</v>
      </c>
      <c r="C104" t="s">
        <v>22</v>
      </c>
      <c r="D104" t="s">
        <v>13</v>
      </c>
      <c r="E104" t="s">
        <v>27</v>
      </c>
      <c r="F104">
        <v>0</v>
      </c>
      <c r="G104">
        <v>0</v>
      </c>
      <c r="H104">
        <f t="shared" si="4"/>
        <v>0</v>
      </c>
      <c r="I104">
        <v>0</v>
      </c>
      <c r="J104">
        <f t="shared" si="5"/>
        <v>0</v>
      </c>
      <c r="K104">
        <v>0</v>
      </c>
      <c r="L104">
        <f t="shared" si="6"/>
        <v>0</v>
      </c>
      <c r="M104">
        <v>0</v>
      </c>
      <c r="N104">
        <f t="shared" si="7"/>
        <v>0</v>
      </c>
    </row>
    <row r="105" spans="1:14" x14ac:dyDescent="0.25">
      <c r="A105">
        <f>VLOOKUP(B105,Calculations!$A$2:$B$10,2)+VLOOKUP(C105,Calculations!$C$2:$D$7,2)+VLOOKUP(D105,Calculations!$E$2:$F$6,2)+VLOOKUP(E105,Calculations!$G$2:$H$6,2)</f>
        <v>1453</v>
      </c>
      <c r="B105" t="s">
        <v>50</v>
      </c>
      <c r="C105" t="s">
        <v>22</v>
      </c>
      <c r="D105" t="s">
        <v>14</v>
      </c>
      <c r="E105" t="s">
        <v>27</v>
      </c>
      <c r="F105">
        <v>0</v>
      </c>
      <c r="G105">
        <v>0</v>
      </c>
      <c r="H105">
        <f t="shared" si="4"/>
        <v>0</v>
      </c>
      <c r="I105">
        <v>0</v>
      </c>
      <c r="J105">
        <f t="shared" si="5"/>
        <v>0</v>
      </c>
      <c r="K105">
        <v>0</v>
      </c>
      <c r="L105">
        <f t="shared" si="6"/>
        <v>0</v>
      </c>
      <c r="M105">
        <v>0</v>
      </c>
      <c r="N105">
        <f t="shared" si="7"/>
        <v>0</v>
      </c>
    </row>
    <row r="106" spans="1:14" x14ac:dyDescent="0.25">
      <c r="A106">
        <f>VLOOKUP(B106,Calculations!$A$2:$B$10,2)+VLOOKUP(C106,Calculations!$C$2:$D$7,2)+VLOOKUP(D106,Calculations!$E$2:$F$6,2)+VLOOKUP(E106,Calculations!$G$2:$H$6,2)</f>
        <v>1454</v>
      </c>
      <c r="B106" t="s">
        <v>50</v>
      </c>
      <c r="C106" t="s">
        <v>22</v>
      </c>
      <c r="D106" t="s">
        <v>15</v>
      </c>
      <c r="E106" t="s">
        <v>27</v>
      </c>
      <c r="F106">
        <v>0</v>
      </c>
      <c r="G106">
        <v>0</v>
      </c>
      <c r="H106">
        <f t="shared" si="4"/>
        <v>0</v>
      </c>
      <c r="I106">
        <v>0</v>
      </c>
      <c r="J106">
        <f t="shared" si="5"/>
        <v>0</v>
      </c>
      <c r="K106">
        <v>0</v>
      </c>
      <c r="L106">
        <f t="shared" si="6"/>
        <v>0</v>
      </c>
      <c r="M106">
        <v>0</v>
      </c>
      <c r="N106">
        <f t="shared" si="7"/>
        <v>0</v>
      </c>
    </row>
    <row r="107" spans="1:14" x14ac:dyDescent="0.25">
      <c r="A107">
        <f>VLOOKUP(B107,Calculations!$A$2:$B$10,2)+VLOOKUP(C107,Calculations!$C$2:$D$7,2)+VLOOKUP(D107,Calculations!$E$2:$F$6,2)+VLOOKUP(E107,Calculations!$G$2:$H$6,2)</f>
        <v>1461</v>
      </c>
      <c r="B107" t="s">
        <v>51</v>
      </c>
      <c r="C107" t="s">
        <v>22</v>
      </c>
      <c r="D107" t="s">
        <v>54</v>
      </c>
      <c r="E107" t="s">
        <v>27</v>
      </c>
      <c r="F107">
        <v>0</v>
      </c>
      <c r="G107">
        <v>0</v>
      </c>
      <c r="H107">
        <f t="shared" si="4"/>
        <v>0</v>
      </c>
      <c r="I107">
        <v>0</v>
      </c>
      <c r="J107">
        <f t="shared" si="5"/>
        <v>0</v>
      </c>
      <c r="K107">
        <v>0</v>
      </c>
      <c r="L107">
        <f t="shared" si="6"/>
        <v>0</v>
      </c>
      <c r="M107">
        <v>0</v>
      </c>
      <c r="N107">
        <f t="shared" si="7"/>
        <v>0</v>
      </c>
    </row>
    <row r="108" spans="1:14" x14ac:dyDescent="0.25">
      <c r="A108">
        <f>VLOOKUP(B108,Calculations!$A$2:$B$10,2)+VLOOKUP(C108,Calculations!$C$2:$D$7,2)+VLOOKUP(D108,Calculations!$E$2:$F$6,2)+VLOOKUP(E108,Calculations!$G$2:$H$6,2)</f>
        <v>1462</v>
      </c>
      <c r="B108" t="s">
        <v>51</v>
      </c>
      <c r="C108" t="s">
        <v>22</v>
      </c>
      <c r="D108" t="s">
        <v>13</v>
      </c>
      <c r="E108" t="s">
        <v>27</v>
      </c>
      <c r="F108">
        <v>0</v>
      </c>
      <c r="G108">
        <v>0</v>
      </c>
      <c r="H108">
        <f t="shared" si="4"/>
        <v>0</v>
      </c>
      <c r="I108">
        <v>0</v>
      </c>
      <c r="J108">
        <f t="shared" si="5"/>
        <v>0</v>
      </c>
      <c r="K108">
        <v>0</v>
      </c>
      <c r="L108">
        <f t="shared" si="6"/>
        <v>0</v>
      </c>
      <c r="M108">
        <v>0</v>
      </c>
      <c r="N108">
        <f t="shared" si="7"/>
        <v>0</v>
      </c>
    </row>
    <row r="109" spans="1:14" x14ac:dyDescent="0.25">
      <c r="A109">
        <f>VLOOKUP(B109,Calculations!$A$2:$B$10,2)+VLOOKUP(C109,Calculations!$C$2:$D$7,2)+VLOOKUP(D109,Calculations!$E$2:$F$6,2)+VLOOKUP(E109,Calculations!$G$2:$H$6,2)</f>
        <v>1463</v>
      </c>
      <c r="B109" t="s">
        <v>51</v>
      </c>
      <c r="C109" t="s">
        <v>22</v>
      </c>
      <c r="D109" t="s">
        <v>14</v>
      </c>
      <c r="E109" t="s">
        <v>27</v>
      </c>
      <c r="F109">
        <v>0</v>
      </c>
      <c r="G109">
        <v>0</v>
      </c>
      <c r="H109">
        <f t="shared" si="4"/>
        <v>0</v>
      </c>
      <c r="I109">
        <v>0</v>
      </c>
      <c r="J109">
        <f t="shared" si="5"/>
        <v>0</v>
      </c>
      <c r="K109">
        <v>0</v>
      </c>
      <c r="L109">
        <f t="shared" si="6"/>
        <v>0</v>
      </c>
      <c r="M109">
        <v>0</v>
      </c>
      <c r="N109">
        <f t="shared" si="7"/>
        <v>0</v>
      </c>
    </row>
    <row r="110" spans="1:14" x14ac:dyDescent="0.25">
      <c r="A110">
        <f>VLOOKUP(B110,Calculations!$A$2:$B$10,2)+VLOOKUP(C110,Calculations!$C$2:$D$7,2)+VLOOKUP(D110,Calculations!$E$2:$F$6,2)+VLOOKUP(E110,Calculations!$G$2:$H$6,2)</f>
        <v>1464</v>
      </c>
      <c r="B110" t="s">
        <v>51</v>
      </c>
      <c r="C110" t="s">
        <v>22</v>
      </c>
      <c r="D110" t="s">
        <v>15</v>
      </c>
      <c r="E110" t="s">
        <v>27</v>
      </c>
      <c r="F110">
        <v>0</v>
      </c>
      <c r="G110">
        <v>0</v>
      </c>
      <c r="H110">
        <f t="shared" si="4"/>
        <v>0</v>
      </c>
      <c r="I110">
        <v>0</v>
      </c>
      <c r="J110">
        <f t="shared" si="5"/>
        <v>0</v>
      </c>
      <c r="K110">
        <v>0</v>
      </c>
      <c r="L110">
        <f t="shared" si="6"/>
        <v>0</v>
      </c>
      <c r="M110">
        <v>0</v>
      </c>
      <c r="N110">
        <f t="shared" si="7"/>
        <v>0</v>
      </c>
    </row>
    <row r="111" spans="1:14" x14ac:dyDescent="0.25">
      <c r="A111">
        <f>VLOOKUP(B111,Calculations!$A$2:$B$10,2)+VLOOKUP(C111,Calculations!$C$2:$D$7,2)+VLOOKUP(D111,Calculations!$E$2:$F$6,2)+VLOOKUP(E111,Calculations!$G$2:$H$6,2)</f>
        <v>1471</v>
      </c>
      <c r="B111" t="s">
        <v>52</v>
      </c>
      <c r="C111" t="s">
        <v>22</v>
      </c>
      <c r="D111" t="s">
        <v>54</v>
      </c>
      <c r="E111" t="s">
        <v>27</v>
      </c>
      <c r="F111">
        <v>0</v>
      </c>
      <c r="G111">
        <v>0</v>
      </c>
      <c r="H111">
        <f t="shared" si="4"/>
        <v>0</v>
      </c>
      <c r="I111">
        <v>0</v>
      </c>
      <c r="J111">
        <f t="shared" si="5"/>
        <v>0</v>
      </c>
      <c r="K111">
        <v>0</v>
      </c>
      <c r="L111">
        <f t="shared" si="6"/>
        <v>0</v>
      </c>
      <c r="M111">
        <v>0</v>
      </c>
      <c r="N111">
        <f t="shared" si="7"/>
        <v>0</v>
      </c>
    </row>
    <row r="112" spans="1:14" x14ac:dyDescent="0.25">
      <c r="A112">
        <f>VLOOKUP(B112,Calculations!$A$2:$B$10,2)+VLOOKUP(C112,Calculations!$C$2:$D$7,2)+VLOOKUP(D112,Calculations!$E$2:$F$6,2)+VLOOKUP(E112,Calculations!$G$2:$H$6,2)</f>
        <v>1472</v>
      </c>
      <c r="B112" t="s">
        <v>52</v>
      </c>
      <c r="C112" t="s">
        <v>22</v>
      </c>
      <c r="D112" t="s">
        <v>13</v>
      </c>
      <c r="E112" t="s">
        <v>27</v>
      </c>
      <c r="F112">
        <v>0</v>
      </c>
      <c r="G112">
        <v>0</v>
      </c>
      <c r="H112">
        <f t="shared" si="4"/>
        <v>0</v>
      </c>
      <c r="I112">
        <v>0</v>
      </c>
      <c r="J112">
        <f t="shared" si="5"/>
        <v>0</v>
      </c>
      <c r="K112">
        <v>0</v>
      </c>
      <c r="L112">
        <f t="shared" si="6"/>
        <v>0</v>
      </c>
      <c r="M112">
        <v>0</v>
      </c>
      <c r="N112">
        <f t="shared" si="7"/>
        <v>0</v>
      </c>
    </row>
    <row r="113" spans="1:14" x14ac:dyDescent="0.25">
      <c r="A113">
        <f>VLOOKUP(B113,Calculations!$A$2:$B$10,2)+VLOOKUP(C113,Calculations!$C$2:$D$7,2)+VLOOKUP(D113,Calculations!$E$2:$F$6,2)+VLOOKUP(E113,Calculations!$G$2:$H$6,2)</f>
        <v>1473</v>
      </c>
      <c r="B113" t="s">
        <v>52</v>
      </c>
      <c r="C113" t="s">
        <v>22</v>
      </c>
      <c r="D113" t="s">
        <v>14</v>
      </c>
      <c r="E113" t="s">
        <v>27</v>
      </c>
      <c r="F113">
        <v>0</v>
      </c>
      <c r="G113">
        <v>0</v>
      </c>
      <c r="H113">
        <f t="shared" si="4"/>
        <v>0</v>
      </c>
      <c r="I113">
        <v>0</v>
      </c>
      <c r="J113">
        <f t="shared" si="5"/>
        <v>0</v>
      </c>
      <c r="K113">
        <v>0</v>
      </c>
      <c r="L113">
        <f t="shared" si="6"/>
        <v>0</v>
      </c>
      <c r="M113">
        <v>0</v>
      </c>
      <c r="N113">
        <f t="shared" si="7"/>
        <v>0</v>
      </c>
    </row>
    <row r="114" spans="1:14" x14ac:dyDescent="0.25">
      <c r="A114">
        <f>VLOOKUP(B114,Calculations!$A$2:$B$10,2)+VLOOKUP(C114,Calculations!$C$2:$D$7,2)+VLOOKUP(D114,Calculations!$E$2:$F$6,2)+VLOOKUP(E114,Calculations!$G$2:$H$6,2)</f>
        <v>1474</v>
      </c>
      <c r="B114" t="s">
        <v>52</v>
      </c>
      <c r="C114" t="s">
        <v>22</v>
      </c>
      <c r="D114" t="s">
        <v>15</v>
      </c>
      <c r="E114" t="s">
        <v>27</v>
      </c>
      <c r="F114">
        <v>0</v>
      </c>
      <c r="G114">
        <v>0</v>
      </c>
      <c r="H114">
        <f t="shared" si="4"/>
        <v>0</v>
      </c>
      <c r="I114">
        <v>0</v>
      </c>
      <c r="J114">
        <f t="shared" si="5"/>
        <v>0</v>
      </c>
      <c r="K114">
        <v>0</v>
      </c>
      <c r="L114">
        <f t="shared" si="6"/>
        <v>0</v>
      </c>
      <c r="M114">
        <v>0</v>
      </c>
      <c r="N114">
        <f t="shared" si="7"/>
        <v>0</v>
      </c>
    </row>
    <row r="115" spans="1:14" x14ac:dyDescent="0.25">
      <c r="A115">
        <f>VLOOKUP(B115,Calculations!$A$2:$B$10,2)+VLOOKUP(C115,Calculations!$C$2:$D$7,2)+VLOOKUP(D115,Calculations!$E$2:$F$6,2)+VLOOKUP(E115,Calculations!$G$2:$H$6,2)</f>
        <v>1481</v>
      </c>
      <c r="B115" t="s">
        <v>8</v>
      </c>
      <c r="C115" t="s">
        <v>22</v>
      </c>
      <c r="D115" t="s">
        <v>54</v>
      </c>
      <c r="E115" t="s">
        <v>27</v>
      </c>
      <c r="F115">
        <v>0</v>
      </c>
      <c r="G115">
        <v>0</v>
      </c>
      <c r="H115">
        <f t="shared" si="4"/>
        <v>0</v>
      </c>
      <c r="I115">
        <v>0</v>
      </c>
      <c r="J115">
        <f t="shared" si="5"/>
        <v>0</v>
      </c>
      <c r="K115">
        <v>0</v>
      </c>
      <c r="L115">
        <f t="shared" si="6"/>
        <v>0</v>
      </c>
      <c r="M115">
        <v>0</v>
      </c>
      <c r="N115">
        <f t="shared" si="7"/>
        <v>0</v>
      </c>
    </row>
    <row r="116" spans="1:14" x14ac:dyDescent="0.25">
      <c r="A116">
        <f>VLOOKUP(B116,Calculations!$A$2:$B$10,2)+VLOOKUP(C116,Calculations!$C$2:$D$7,2)+VLOOKUP(D116,Calculations!$E$2:$F$6,2)+VLOOKUP(E116,Calculations!$G$2:$H$6,2)</f>
        <v>1482</v>
      </c>
      <c r="B116" t="s">
        <v>8</v>
      </c>
      <c r="C116" t="s">
        <v>22</v>
      </c>
      <c r="D116" t="s">
        <v>13</v>
      </c>
      <c r="E116" t="s">
        <v>27</v>
      </c>
      <c r="F116">
        <v>0</v>
      </c>
      <c r="G116">
        <v>0</v>
      </c>
      <c r="H116">
        <f t="shared" si="4"/>
        <v>0</v>
      </c>
      <c r="I116">
        <v>0</v>
      </c>
      <c r="J116">
        <f t="shared" si="5"/>
        <v>0</v>
      </c>
      <c r="K116">
        <v>0</v>
      </c>
      <c r="L116">
        <f t="shared" si="6"/>
        <v>0</v>
      </c>
      <c r="M116">
        <v>0</v>
      </c>
      <c r="N116">
        <f t="shared" si="7"/>
        <v>0</v>
      </c>
    </row>
    <row r="117" spans="1:14" x14ac:dyDescent="0.25">
      <c r="A117">
        <f>VLOOKUP(B117,Calculations!$A$2:$B$10,2)+VLOOKUP(C117,Calculations!$C$2:$D$7,2)+VLOOKUP(D117,Calculations!$E$2:$F$6,2)+VLOOKUP(E117,Calculations!$G$2:$H$6,2)</f>
        <v>1483</v>
      </c>
      <c r="B117" t="s">
        <v>8</v>
      </c>
      <c r="C117" t="s">
        <v>22</v>
      </c>
      <c r="D117" t="s">
        <v>14</v>
      </c>
      <c r="E117" t="s">
        <v>27</v>
      </c>
      <c r="F117">
        <v>0</v>
      </c>
      <c r="G117">
        <v>0</v>
      </c>
      <c r="H117">
        <f t="shared" si="4"/>
        <v>0</v>
      </c>
      <c r="I117">
        <v>0</v>
      </c>
      <c r="J117">
        <f t="shared" si="5"/>
        <v>0</v>
      </c>
      <c r="K117">
        <v>0</v>
      </c>
      <c r="L117">
        <f t="shared" si="6"/>
        <v>0</v>
      </c>
      <c r="M117">
        <v>0</v>
      </c>
      <c r="N117">
        <f t="shared" si="7"/>
        <v>0</v>
      </c>
    </row>
    <row r="118" spans="1:14" x14ac:dyDescent="0.25">
      <c r="A118">
        <f>VLOOKUP(B118,Calculations!$A$2:$B$10,2)+VLOOKUP(C118,Calculations!$C$2:$D$7,2)+VLOOKUP(D118,Calculations!$E$2:$F$6,2)+VLOOKUP(E118,Calculations!$G$2:$H$6,2)</f>
        <v>1484</v>
      </c>
      <c r="B118" t="s">
        <v>8</v>
      </c>
      <c r="C118" t="s">
        <v>22</v>
      </c>
      <c r="D118" t="s">
        <v>15</v>
      </c>
      <c r="E118" t="s">
        <v>27</v>
      </c>
      <c r="F118">
        <v>0</v>
      </c>
      <c r="G118">
        <v>0</v>
      </c>
      <c r="H118">
        <f t="shared" si="4"/>
        <v>0</v>
      </c>
      <c r="I118">
        <v>0</v>
      </c>
      <c r="J118">
        <f t="shared" si="5"/>
        <v>0</v>
      </c>
      <c r="K118">
        <v>0</v>
      </c>
      <c r="L118">
        <f t="shared" si="6"/>
        <v>0</v>
      </c>
      <c r="M118">
        <v>0</v>
      </c>
      <c r="N118">
        <f t="shared" si="7"/>
        <v>0</v>
      </c>
    </row>
    <row r="119" spans="1:14" x14ac:dyDescent="0.25">
      <c r="A119">
        <f>VLOOKUP(B119,Calculations!$A$2:$B$10,2)+VLOOKUP(C119,Calculations!$C$2:$D$7,2)+VLOOKUP(D119,Calculations!$E$2:$F$6,2)+VLOOKUP(E119,Calculations!$G$2:$H$6,2)</f>
        <v>1501</v>
      </c>
      <c r="B119" t="s">
        <v>5</v>
      </c>
      <c r="C119" t="s">
        <v>22</v>
      </c>
      <c r="D119" t="s">
        <v>54</v>
      </c>
      <c r="E119" t="s">
        <v>28</v>
      </c>
      <c r="F119">
        <v>1</v>
      </c>
      <c r="G119">
        <v>0</v>
      </c>
      <c r="H119">
        <f t="shared" si="4"/>
        <v>0</v>
      </c>
      <c r="I119">
        <v>0</v>
      </c>
      <c r="J119">
        <f t="shared" si="5"/>
        <v>0</v>
      </c>
      <c r="K119">
        <v>1</v>
      </c>
      <c r="L119">
        <f t="shared" si="6"/>
        <v>1501</v>
      </c>
      <c r="M119">
        <v>0</v>
      </c>
      <c r="N119">
        <f t="shared" si="7"/>
        <v>0</v>
      </c>
    </row>
    <row r="120" spans="1:14" x14ac:dyDescent="0.25">
      <c r="A120">
        <f>VLOOKUP(B120,Calculations!$A$2:$B$10,2)+VLOOKUP(C120,Calculations!$C$2:$D$7,2)+VLOOKUP(D120,Calculations!$E$2:$F$6,2)+VLOOKUP(E120,Calculations!$G$2:$H$6,2)</f>
        <v>1502</v>
      </c>
      <c r="B120" t="s">
        <v>5</v>
      </c>
      <c r="C120" t="s">
        <v>22</v>
      </c>
      <c r="D120" t="s">
        <v>13</v>
      </c>
      <c r="E120" t="s">
        <v>28</v>
      </c>
      <c r="F120">
        <v>1</v>
      </c>
      <c r="G120">
        <v>0</v>
      </c>
      <c r="H120">
        <f t="shared" si="4"/>
        <v>0</v>
      </c>
      <c r="I120">
        <v>0</v>
      </c>
      <c r="J120">
        <f t="shared" si="5"/>
        <v>0</v>
      </c>
      <c r="K120">
        <v>1</v>
      </c>
      <c r="L120">
        <f t="shared" si="6"/>
        <v>1502</v>
      </c>
      <c r="M120">
        <v>0</v>
      </c>
      <c r="N120">
        <f t="shared" si="7"/>
        <v>0</v>
      </c>
    </row>
    <row r="121" spans="1:14" x14ac:dyDescent="0.25">
      <c r="A121">
        <f>VLOOKUP(B121,Calculations!$A$2:$B$10,2)+VLOOKUP(C121,Calculations!$C$2:$D$7,2)+VLOOKUP(D121,Calculations!$E$2:$F$6,2)+VLOOKUP(E121,Calculations!$G$2:$H$6,2)</f>
        <v>1503</v>
      </c>
      <c r="B121" t="s">
        <v>5</v>
      </c>
      <c r="C121" t="s">
        <v>22</v>
      </c>
      <c r="D121" t="s">
        <v>14</v>
      </c>
      <c r="E121" t="s">
        <v>28</v>
      </c>
      <c r="F121">
        <v>0</v>
      </c>
      <c r="G121">
        <v>0</v>
      </c>
      <c r="H121">
        <f t="shared" si="4"/>
        <v>0</v>
      </c>
      <c r="I121">
        <v>0</v>
      </c>
      <c r="J121">
        <f t="shared" si="5"/>
        <v>0</v>
      </c>
      <c r="K121">
        <v>0</v>
      </c>
      <c r="L121">
        <f t="shared" si="6"/>
        <v>0</v>
      </c>
      <c r="M121">
        <v>0</v>
      </c>
      <c r="N121">
        <f t="shared" si="7"/>
        <v>0</v>
      </c>
    </row>
    <row r="122" spans="1:14" x14ac:dyDescent="0.25">
      <c r="A122">
        <f>VLOOKUP(B122,Calculations!$A$2:$B$10,2)+VLOOKUP(C122,Calculations!$C$2:$D$7,2)+VLOOKUP(D122,Calculations!$E$2:$F$6,2)+VLOOKUP(E122,Calculations!$G$2:$H$6,2)</f>
        <v>1504</v>
      </c>
      <c r="B122" t="s">
        <v>5</v>
      </c>
      <c r="C122" t="s">
        <v>22</v>
      </c>
      <c r="D122" t="s">
        <v>15</v>
      </c>
      <c r="E122" t="s">
        <v>28</v>
      </c>
      <c r="F122">
        <v>0</v>
      </c>
      <c r="G122">
        <v>0</v>
      </c>
      <c r="H122">
        <f t="shared" si="4"/>
        <v>0</v>
      </c>
      <c r="I122">
        <v>0</v>
      </c>
      <c r="J122">
        <f t="shared" si="5"/>
        <v>0</v>
      </c>
      <c r="K122">
        <v>0</v>
      </c>
      <c r="L122">
        <f t="shared" si="6"/>
        <v>0</v>
      </c>
      <c r="M122">
        <v>0</v>
      </c>
      <c r="N122">
        <f t="shared" si="7"/>
        <v>0</v>
      </c>
    </row>
    <row r="123" spans="1:14" x14ac:dyDescent="0.25">
      <c r="A123">
        <f>VLOOKUP(B123,Calculations!$A$2:$B$10,2)+VLOOKUP(C123,Calculations!$C$2:$D$7,2)+VLOOKUP(D123,Calculations!$E$2:$F$6,2)+VLOOKUP(E123,Calculations!$G$2:$H$6,2)</f>
        <v>1511</v>
      </c>
      <c r="B123" t="s">
        <v>6</v>
      </c>
      <c r="C123" t="s">
        <v>22</v>
      </c>
      <c r="D123" t="s">
        <v>54</v>
      </c>
      <c r="E123" t="s">
        <v>28</v>
      </c>
      <c r="F123">
        <v>1</v>
      </c>
      <c r="G123">
        <v>0</v>
      </c>
      <c r="H123">
        <f t="shared" si="4"/>
        <v>0</v>
      </c>
      <c r="I123">
        <v>0</v>
      </c>
      <c r="J123">
        <f t="shared" si="5"/>
        <v>0</v>
      </c>
      <c r="K123">
        <v>1</v>
      </c>
      <c r="L123">
        <f t="shared" si="6"/>
        <v>1511</v>
      </c>
      <c r="M123">
        <v>0</v>
      </c>
      <c r="N123">
        <f t="shared" si="7"/>
        <v>0</v>
      </c>
    </row>
    <row r="124" spans="1:14" x14ac:dyDescent="0.25">
      <c r="A124">
        <f>VLOOKUP(B124,Calculations!$A$2:$B$10,2)+VLOOKUP(C124,Calculations!$C$2:$D$7,2)+VLOOKUP(D124,Calculations!$E$2:$F$6,2)+VLOOKUP(E124,Calculations!$G$2:$H$6,2)</f>
        <v>1512</v>
      </c>
      <c r="B124" t="s">
        <v>6</v>
      </c>
      <c r="C124" t="s">
        <v>22</v>
      </c>
      <c r="D124" t="s">
        <v>13</v>
      </c>
      <c r="E124" t="s">
        <v>28</v>
      </c>
      <c r="F124">
        <v>1</v>
      </c>
      <c r="G124">
        <v>0</v>
      </c>
      <c r="H124">
        <f t="shared" si="4"/>
        <v>0</v>
      </c>
      <c r="I124">
        <v>0</v>
      </c>
      <c r="J124">
        <f t="shared" si="5"/>
        <v>0</v>
      </c>
      <c r="K124">
        <v>1</v>
      </c>
      <c r="L124">
        <f t="shared" si="6"/>
        <v>1512</v>
      </c>
      <c r="M124">
        <v>0</v>
      </c>
      <c r="N124">
        <f t="shared" si="7"/>
        <v>0</v>
      </c>
    </row>
    <row r="125" spans="1:14" x14ac:dyDescent="0.25">
      <c r="A125">
        <f>VLOOKUP(B125,Calculations!$A$2:$B$10,2)+VLOOKUP(C125,Calculations!$C$2:$D$7,2)+VLOOKUP(D125,Calculations!$E$2:$F$6,2)+VLOOKUP(E125,Calculations!$G$2:$H$6,2)</f>
        <v>1513</v>
      </c>
      <c r="B125" t="s">
        <v>6</v>
      </c>
      <c r="C125" t="s">
        <v>22</v>
      </c>
      <c r="D125" t="s">
        <v>14</v>
      </c>
      <c r="E125" t="s">
        <v>28</v>
      </c>
      <c r="F125">
        <v>0</v>
      </c>
      <c r="G125">
        <v>0</v>
      </c>
      <c r="H125">
        <f t="shared" si="4"/>
        <v>0</v>
      </c>
      <c r="I125">
        <v>0</v>
      </c>
      <c r="J125">
        <f t="shared" si="5"/>
        <v>0</v>
      </c>
      <c r="K125">
        <v>0</v>
      </c>
      <c r="L125">
        <f t="shared" si="6"/>
        <v>0</v>
      </c>
      <c r="M125">
        <v>0</v>
      </c>
      <c r="N125">
        <f t="shared" si="7"/>
        <v>0</v>
      </c>
    </row>
    <row r="126" spans="1:14" x14ac:dyDescent="0.25">
      <c r="A126">
        <f>VLOOKUP(B126,Calculations!$A$2:$B$10,2)+VLOOKUP(C126,Calculations!$C$2:$D$7,2)+VLOOKUP(D126,Calculations!$E$2:$F$6,2)+VLOOKUP(E126,Calculations!$G$2:$H$6,2)</f>
        <v>1514</v>
      </c>
      <c r="B126" t="s">
        <v>6</v>
      </c>
      <c r="C126" t="s">
        <v>22</v>
      </c>
      <c r="D126" t="s">
        <v>15</v>
      </c>
      <c r="E126" t="s">
        <v>28</v>
      </c>
      <c r="F126">
        <v>0</v>
      </c>
      <c r="G126">
        <v>0</v>
      </c>
      <c r="H126">
        <f t="shared" si="4"/>
        <v>0</v>
      </c>
      <c r="I126">
        <v>0</v>
      </c>
      <c r="J126">
        <f t="shared" si="5"/>
        <v>0</v>
      </c>
      <c r="K126">
        <v>0</v>
      </c>
      <c r="L126">
        <f t="shared" si="6"/>
        <v>0</v>
      </c>
      <c r="M126">
        <v>0</v>
      </c>
      <c r="N126">
        <f t="shared" si="7"/>
        <v>0</v>
      </c>
    </row>
    <row r="127" spans="1:14" x14ac:dyDescent="0.25">
      <c r="A127">
        <f>VLOOKUP(B127,Calculations!$A$2:$B$10,2)+VLOOKUP(C127,Calculations!$C$2:$D$7,2)+VLOOKUP(D127,Calculations!$E$2:$F$6,2)+VLOOKUP(E127,Calculations!$G$2:$H$6,2)</f>
        <v>1521</v>
      </c>
      <c r="B127" t="s">
        <v>7</v>
      </c>
      <c r="C127" t="s">
        <v>22</v>
      </c>
      <c r="D127" t="s">
        <v>54</v>
      </c>
      <c r="E127" t="s">
        <v>28</v>
      </c>
      <c r="F127">
        <v>0</v>
      </c>
      <c r="G127">
        <v>0</v>
      </c>
      <c r="H127">
        <f t="shared" si="4"/>
        <v>0</v>
      </c>
      <c r="I127">
        <v>0</v>
      </c>
      <c r="J127">
        <f t="shared" si="5"/>
        <v>0</v>
      </c>
      <c r="K127">
        <v>0</v>
      </c>
      <c r="L127">
        <f t="shared" si="6"/>
        <v>0</v>
      </c>
      <c r="M127">
        <v>0</v>
      </c>
      <c r="N127">
        <f t="shared" si="7"/>
        <v>0</v>
      </c>
    </row>
    <row r="128" spans="1:14" x14ac:dyDescent="0.25">
      <c r="A128">
        <f>VLOOKUP(B128,Calculations!$A$2:$B$10,2)+VLOOKUP(C128,Calculations!$C$2:$D$7,2)+VLOOKUP(D128,Calculations!$E$2:$F$6,2)+VLOOKUP(E128,Calculations!$G$2:$H$6,2)</f>
        <v>1522</v>
      </c>
      <c r="B128" t="s">
        <v>7</v>
      </c>
      <c r="C128" t="s">
        <v>22</v>
      </c>
      <c r="D128" t="s">
        <v>13</v>
      </c>
      <c r="E128" t="s">
        <v>28</v>
      </c>
      <c r="F128">
        <v>0</v>
      </c>
      <c r="G128">
        <v>0</v>
      </c>
      <c r="H128">
        <f t="shared" si="4"/>
        <v>0</v>
      </c>
      <c r="I128">
        <v>0</v>
      </c>
      <c r="J128">
        <f t="shared" si="5"/>
        <v>0</v>
      </c>
      <c r="K128">
        <v>0</v>
      </c>
      <c r="L128">
        <f t="shared" si="6"/>
        <v>0</v>
      </c>
      <c r="M128">
        <v>0</v>
      </c>
      <c r="N128">
        <f t="shared" si="7"/>
        <v>0</v>
      </c>
    </row>
    <row r="129" spans="1:14" x14ac:dyDescent="0.25">
      <c r="A129">
        <f>VLOOKUP(B129,Calculations!$A$2:$B$10,2)+VLOOKUP(C129,Calculations!$C$2:$D$7,2)+VLOOKUP(D129,Calculations!$E$2:$F$6,2)+VLOOKUP(E129,Calculations!$G$2:$H$6,2)</f>
        <v>1523</v>
      </c>
      <c r="B129" t="s">
        <v>7</v>
      </c>
      <c r="C129" t="s">
        <v>22</v>
      </c>
      <c r="D129" t="s">
        <v>14</v>
      </c>
      <c r="E129" t="s">
        <v>28</v>
      </c>
      <c r="F129">
        <v>0</v>
      </c>
      <c r="G129">
        <v>0</v>
      </c>
      <c r="H129">
        <f t="shared" si="4"/>
        <v>0</v>
      </c>
      <c r="I129">
        <v>0</v>
      </c>
      <c r="J129">
        <f t="shared" si="5"/>
        <v>0</v>
      </c>
      <c r="K129">
        <v>0</v>
      </c>
      <c r="L129">
        <f t="shared" si="6"/>
        <v>0</v>
      </c>
      <c r="M129">
        <v>0</v>
      </c>
      <c r="N129">
        <f t="shared" si="7"/>
        <v>0</v>
      </c>
    </row>
    <row r="130" spans="1:14" x14ac:dyDescent="0.25">
      <c r="A130">
        <f>VLOOKUP(B130,Calculations!$A$2:$B$10,2)+VLOOKUP(C130,Calculations!$C$2:$D$7,2)+VLOOKUP(D130,Calculations!$E$2:$F$6,2)+VLOOKUP(E130,Calculations!$G$2:$H$6,2)</f>
        <v>1524</v>
      </c>
      <c r="B130" t="s">
        <v>7</v>
      </c>
      <c r="C130" t="s">
        <v>22</v>
      </c>
      <c r="D130" t="s">
        <v>15</v>
      </c>
      <c r="E130" t="s">
        <v>28</v>
      </c>
      <c r="F130">
        <v>0</v>
      </c>
      <c r="G130">
        <v>0</v>
      </c>
      <c r="H130">
        <f t="shared" ref="H130:H193" si="8">A130*G130</f>
        <v>0</v>
      </c>
      <c r="I130">
        <v>0</v>
      </c>
      <c r="J130">
        <f t="shared" ref="J130:J193" si="9">A130*I130</f>
        <v>0</v>
      </c>
      <c r="K130">
        <v>0</v>
      </c>
      <c r="L130">
        <f t="shared" ref="L130:L193" si="10">K130*A130</f>
        <v>0</v>
      </c>
      <c r="M130">
        <v>0</v>
      </c>
      <c r="N130">
        <f t="shared" ref="N130:N193" si="11">A130*M130</f>
        <v>0</v>
      </c>
    </row>
    <row r="131" spans="1:14" x14ac:dyDescent="0.25">
      <c r="A131">
        <f>VLOOKUP(B131,Calculations!$A$2:$B$10,2)+VLOOKUP(C131,Calculations!$C$2:$D$7,2)+VLOOKUP(D131,Calculations!$E$2:$F$6,2)+VLOOKUP(E131,Calculations!$G$2:$H$6,2)</f>
        <v>1531</v>
      </c>
      <c r="B131" t="s">
        <v>53</v>
      </c>
      <c r="C131" t="s">
        <v>22</v>
      </c>
      <c r="D131" t="s">
        <v>54</v>
      </c>
      <c r="E131" t="s">
        <v>28</v>
      </c>
      <c r="F131">
        <v>0</v>
      </c>
      <c r="G131">
        <v>0</v>
      </c>
      <c r="H131">
        <f t="shared" si="8"/>
        <v>0</v>
      </c>
      <c r="I131">
        <v>0</v>
      </c>
      <c r="J131">
        <f t="shared" si="9"/>
        <v>0</v>
      </c>
      <c r="K131">
        <v>0</v>
      </c>
      <c r="L131">
        <f t="shared" si="10"/>
        <v>0</v>
      </c>
      <c r="M131">
        <v>0</v>
      </c>
      <c r="N131">
        <f t="shared" si="11"/>
        <v>0</v>
      </c>
    </row>
    <row r="132" spans="1:14" x14ac:dyDescent="0.25">
      <c r="A132">
        <f>VLOOKUP(B132,Calculations!$A$2:$B$10,2)+VLOOKUP(C132,Calculations!$C$2:$D$7,2)+VLOOKUP(D132,Calculations!$E$2:$F$6,2)+VLOOKUP(E132,Calculations!$G$2:$H$6,2)</f>
        <v>1532</v>
      </c>
      <c r="B132" t="s">
        <v>53</v>
      </c>
      <c r="C132" t="s">
        <v>22</v>
      </c>
      <c r="D132" t="s">
        <v>13</v>
      </c>
      <c r="E132" t="s">
        <v>28</v>
      </c>
      <c r="F132">
        <v>0</v>
      </c>
      <c r="G132">
        <v>0</v>
      </c>
      <c r="H132">
        <f t="shared" si="8"/>
        <v>0</v>
      </c>
      <c r="I132">
        <v>0</v>
      </c>
      <c r="J132">
        <f t="shared" si="9"/>
        <v>0</v>
      </c>
      <c r="K132">
        <v>0</v>
      </c>
      <c r="L132">
        <f t="shared" si="10"/>
        <v>0</v>
      </c>
      <c r="M132">
        <v>0</v>
      </c>
      <c r="N132">
        <f t="shared" si="11"/>
        <v>0</v>
      </c>
    </row>
    <row r="133" spans="1:14" x14ac:dyDescent="0.25">
      <c r="A133">
        <f>VLOOKUP(B133,Calculations!$A$2:$B$10,2)+VLOOKUP(C133,Calculations!$C$2:$D$7,2)+VLOOKUP(D133,Calculations!$E$2:$F$6,2)+VLOOKUP(E133,Calculations!$G$2:$H$6,2)</f>
        <v>1533</v>
      </c>
      <c r="B133" t="s">
        <v>53</v>
      </c>
      <c r="C133" t="s">
        <v>22</v>
      </c>
      <c r="D133" t="s">
        <v>14</v>
      </c>
      <c r="E133" t="s">
        <v>28</v>
      </c>
      <c r="F133">
        <v>0</v>
      </c>
      <c r="G133">
        <v>0</v>
      </c>
      <c r="H133">
        <f t="shared" si="8"/>
        <v>0</v>
      </c>
      <c r="I133">
        <v>0</v>
      </c>
      <c r="J133">
        <f t="shared" si="9"/>
        <v>0</v>
      </c>
      <c r="K133">
        <v>0</v>
      </c>
      <c r="L133">
        <f t="shared" si="10"/>
        <v>0</v>
      </c>
      <c r="M133">
        <v>0</v>
      </c>
      <c r="N133">
        <f t="shared" si="11"/>
        <v>0</v>
      </c>
    </row>
    <row r="134" spans="1:14" x14ac:dyDescent="0.25">
      <c r="A134">
        <f>VLOOKUP(B134,Calculations!$A$2:$B$10,2)+VLOOKUP(C134,Calculations!$C$2:$D$7,2)+VLOOKUP(D134,Calculations!$E$2:$F$6,2)+VLOOKUP(E134,Calculations!$G$2:$H$6,2)</f>
        <v>1534</v>
      </c>
      <c r="B134" t="s">
        <v>53</v>
      </c>
      <c r="C134" t="s">
        <v>22</v>
      </c>
      <c r="D134" t="s">
        <v>15</v>
      </c>
      <c r="E134" t="s">
        <v>28</v>
      </c>
      <c r="F134">
        <v>0</v>
      </c>
      <c r="G134">
        <v>0</v>
      </c>
      <c r="H134">
        <f t="shared" si="8"/>
        <v>0</v>
      </c>
      <c r="I134">
        <v>0</v>
      </c>
      <c r="J134">
        <f t="shared" si="9"/>
        <v>0</v>
      </c>
      <c r="K134">
        <v>0</v>
      </c>
      <c r="L134">
        <f t="shared" si="10"/>
        <v>0</v>
      </c>
      <c r="M134">
        <v>0</v>
      </c>
      <c r="N134">
        <f t="shared" si="11"/>
        <v>0</v>
      </c>
    </row>
    <row r="135" spans="1:14" x14ac:dyDescent="0.25">
      <c r="A135">
        <f>VLOOKUP(B135,Calculations!$A$2:$B$10,2)+VLOOKUP(C135,Calculations!$C$2:$D$7,2)+VLOOKUP(D135,Calculations!$E$2:$F$6,2)+VLOOKUP(E135,Calculations!$G$2:$H$6,2)</f>
        <v>1541</v>
      </c>
      <c r="B135" t="s">
        <v>9</v>
      </c>
      <c r="C135" t="s">
        <v>22</v>
      </c>
      <c r="D135" t="s">
        <v>54</v>
      </c>
      <c r="E135" t="s">
        <v>28</v>
      </c>
      <c r="F135">
        <v>0</v>
      </c>
      <c r="G135">
        <v>0</v>
      </c>
      <c r="H135">
        <f t="shared" si="8"/>
        <v>0</v>
      </c>
      <c r="I135">
        <v>0</v>
      </c>
      <c r="J135">
        <f t="shared" si="9"/>
        <v>0</v>
      </c>
      <c r="K135">
        <v>0</v>
      </c>
      <c r="L135">
        <f t="shared" si="10"/>
        <v>0</v>
      </c>
      <c r="M135">
        <v>0</v>
      </c>
      <c r="N135">
        <f t="shared" si="11"/>
        <v>0</v>
      </c>
    </row>
    <row r="136" spans="1:14" x14ac:dyDescent="0.25">
      <c r="A136">
        <f>VLOOKUP(B136,Calculations!$A$2:$B$10,2)+VLOOKUP(C136,Calculations!$C$2:$D$7,2)+VLOOKUP(D136,Calculations!$E$2:$F$6,2)+VLOOKUP(E136,Calculations!$G$2:$H$6,2)</f>
        <v>1542</v>
      </c>
      <c r="B136" t="s">
        <v>9</v>
      </c>
      <c r="C136" t="s">
        <v>22</v>
      </c>
      <c r="D136" t="s">
        <v>13</v>
      </c>
      <c r="E136" t="s">
        <v>28</v>
      </c>
      <c r="F136">
        <v>0</v>
      </c>
      <c r="G136">
        <v>0</v>
      </c>
      <c r="H136">
        <f t="shared" si="8"/>
        <v>0</v>
      </c>
      <c r="I136">
        <v>0</v>
      </c>
      <c r="J136">
        <f t="shared" si="9"/>
        <v>0</v>
      </c>
      <c r="K136">
        <v>0</v>
      </c>
      <c r="L136">
        <f t="shared" si="10"/>
        <v>0</v>
      </c>
      <c r="M136">
        <v>0</v>
      </c>
      <c r="N136">
        <f t="shared" si="11"/>
        <v>0</v>
      </c>
    </row>
    <row r="137" spans="1:14" x14ac:dyDescent="0.25">
      <c r="A137">
        <f>VLOOKUP(B137,Calculations!$A$2:$B$10,2)+VLOOKUP(C137,Calculations!$C$2:$D$7,2)+VLOOKUP(D137,Calculations!$E$2:$F$6,2)+VLOOKUP(E137,Calculations!$G$2:$H$6,2)</f>
        <v>1543</v>
      </c>
      <c r="B137" t="s">
        <v>9</v>
      </c>
      <c r="C137" t="s">
        <v>22</v>
      </c>
      <c r="D137" t="s">
        <v>14</v>
      </c>
      <c r="E137" t="s">
        <v>28</v>
      </c>
      <c r="F137">
        <v>0</v>
      </c>
      <c r="G137">
        <v>0</v>
      </c>
      <c r="H137">
        <f t="shared" si="8"/>
        <v>0</v>
      </c>
      <c r="I137">
        <v>0</v>
      </c>
      <c r="J137">
        <f t="shared" si="9"/>
        <v>0</v>
      </c>
      <c r="K137">
        <v>0</v>
      </c>
      <c r="L137">
        <f t="shared" si="10"/>
        <v>0</v>
      </c>
      <c r="M137">
        <v>0</v>
      </c>
      <c r="N137">
        <f t="shared" si="11"/>
        <v>0</v>
      </c>
    </row>
    <row r="138" spans="1:14" x14ac:dyDescent="0.25">
      <c r="A138">
        <f>VLOOKUP(B138,Calculations!$A$2:$B$10,2)+VLOOKUP(C138,Calculations!$C$2:$D$7,2)+VLOOKUP(D138,Calculations!$E$2:$F$6,2)+VLOOKUP(E138,Calculations!$G$2:$H$6,2)</f>
        <v>1544</v>
      </c>
      <c r="B138" t="s">
        <v>9</v>
      </c>
      <c r="C138" t="s">
        <v>22</v>
      </c>
      <c r="D138" t="s">
        <v>15</v>
      </c>
      <c r="E138" t="s">
        <v>28</v>
      </c>
      <c r="F138">
        <v>0</v>
      </c>
      <c r="G138">
        <v>0</v>
      </c>
      <c r="H138">
        <f t="shared" si="8"/>
        <v>0</v>
      </c>
      <c r="I138">
        <v>0</v>
      </c>
      <c r="J138">
        <f t="shared" si="9"/>
        <v>0</v>
      </c>
      <c r="K138">
        <v>0</v>
      </c>
      <c r="L138">
        <f t="shared" si="10"/>
        <v>0</v>
      </c>
      <c r="M138">
        <v>0</v>
      </c>
      <c r="N138">
        <f t="shared" si="11"/>
        <v>0</v>
      </c>
    </row>
    <row r="139" spans="1:14" x14ac:dyDescent="0.25">
      <c r="A139">
        <f>VLOOKUP(B139,Calculations!$A$2:$B$10,2)+VLOOKUP(C139,Calculations!$C$2:$D$7,2)+VLOOKUP(D139,Calculations!$E$2:$F$6,2)+VLOOKUP(E139,Calculations!$G$2:$H$6,2)</f>
        <v>1551</v>
      </c>
      <c r="B139" t="s">
        <v>50</v>
      </c>
      <c r="C139" t="s">
        <v>22</v>
      </c>
      <c r="D139" t="s">
        <v>54</v>
      </c>
      <c r="E139" t="s">
        <v>28</v>
      </c>
      <c r="F139">
        <v>0</v>
      </c>
      <c r="G139">
        <v>0</v>
      </c>
      <c r="H139">
        <f t="shared" si="8"/>
        <v>0</v>
      </c>
      <c r="I139">
        <v>0</v>
      </c>
      <c r="J139">
        <f t="shared" si="9"/>
        <v>0</v>
      </c>
      <c r="K139">
        <v>0</v>
      </c>
      <c r="L139">
        <f t="shared" si="10"/>
        <v>0</v>
      </c>
      <c r="M139">
        <v>0</v>
      </c>
      <c r="N139">
        <f t="shared" si="11"/>
        <v>0</v>
      </c>
    </row>
    <row r="140" spans="1:14" x14ac:dyDescent="0.25">
      <c r="A140">
        <f>VLOOKUP(B140,Calculations!$A$2:$B$10,2)+VLOOKUP(C140,Calculations!$C$2:$D$7,2)+VLOOKUP(D140,Calculations!$E$2:$F$6,2)+VLOOKUP(E140,Calculations!$G$2:$H$6,2)</f>
        <v>1552</v>
      </c>
      <c r="B140" t="s">
        <v>50</v>
      </c>
      <c r="C140" t="s">
        <v>22</v>
      </c>
      <c r="D140" t="s">
        <v>13</v>
      </c>
      <c r="E140" t="s">
        <v>28</v>
      </c>
      <c r="F140">
        <v>0</v>
      </c>
      <c r="G140">
        <v>0</v>
      </c>
      <c r="H140">
        <f t="shared" si="8"/>
        <v>0</v>
      </c>
      <c r="I140">
        <v>0</v>
      </c>
      <c r="J140">
        <f t="shared" si="9"/>
        <v>0</v>
      </c>
      <c r="K140">
        <v>0</v>
      </c>
      <c r="L140">
        <f t="shared" si="10"/>
        <v>0</v>
      </c>
      <c r="M140">
        <v>0</v>
      </c>
      <c r="N140">
        <f t="shared" si="11"/>
        <v>0</v>
      </c>
    </row>
    <row r="141" spans="1:14" x14ac:dyDescent="0.25">
      <c r="A141">
        <f>VLOOKUP(B141,Calculations!$A$2:$B$10,2)+VLOOKUP(C141,Calculations!$C$2:$D$7,2)+VLOOKUP(D141,Calculations!$E$2:$F$6,2)+VLOOKUP(E141,Calculations!$G$2:$H$6,2)</f>
        <v>1553</v>
      </c>
      <c r="B141" t="s">
        <v>50</v>
      </c>
      <c r="C141" t="s">
        <v>22</v>
      </c>
      <c r="D141" t="s">
        <v>14</v>
      </c>
      <c r="E141" t="s">
        <v>28</v>
      </c>
      <c r="F141">
        <v>0</v>
      </c>
      <c r="G141">
        <v>0</v>
      </c>
      <c r="H141">
        <f t="shared" si="8"/>
        <v>0</v>
      </c>
      <c r="I141">
        <v>0</v>
      </c>
      <c r="J141">
        <f t="shared" si="9"/>
        <v>0</v>
      </c>
      <c r="K141">
        <v>0</v>
      </c>
      <c r="L141">
        <f t="shared" si="10"/>
        <v>0</v>
      </c>
      <c r="M141">
        <v>0</v>
      </c>
      <c r="N141">
        <f t="shared" si="11"/>
        <v>0</v>
      </c>
    </row>
    <row r="142" spans="1:14" x14ac:dyDescent="0.25">
      <c r="A142">
        <f>VLOOKUP(B142,Calculations!$A$2:$B$10,2)+VLOOKUP(C142,Calculations!$C$2:$D$7,2)+VLOOKUP(D142,Calculations!$E$2:$F$6,2)+VLOOKUP(E142,Calculations!$G$2:$H$6,2)</f>
        <v>1554</v>
      </c>
      <c r="B142" t="s">
        <v>50</v>
      </c>
      <c r="C142" t="s">
        <v>22</v>
      </c>
      <c r="D142" t="s">
        <v>15</v>
      </c>
      <c r="E142" t="s">
        <v>28</v>
      </c>
      <c r="F142">
        <v>0</v>
      </c>
      <c r="G142">
        <v>0</v>
      </c>
      <c r="H142">
        <f t="shared" si="8"/>
        <v>0</v>
      </c>
      <c r="I142">
        <v>0</v>
      </c>
      <c r="J142">
        <f t="shared" si="9"/>
        <v>0</v>
      </c>
      <c r="K142">
        <v>0</v>
      </c>
      <c r="L142">
        <f t="shared" si="10"/>
        <v>0</v>
      </c>
      <c r="M142">
        <v>0</v>
      </c>
      <c r="N142">
        <f t="shared" si="11"/>
        <v>0</v>
      </c>
    </row>
    <row r="143" spans="1:14" x14ac:dyDescent="0.25">
      <c r="A143">
        <f>VLOOKUP(B143,Calculations!$A$2:$B$10,2)+VLOOKUP(C143,Calculations!$C$2:$D$7,2)+VLOOKUP(D143,Calculations!$E$2:$F$6,2)+VLOOKUP(E143,Calculations!$G$2:$H$6,2)</f>
        <v>1561</v>
      </c>
      <c r="B143" t="s">
        <v>51</v>
      </c>
      <c r="C143" t="s">
        <v>22</v>
      </c>
      <c r="D143" t="s">
        <v>54</v>
      </c>
      <c r="E143" t="s">
        <v>28</v>
      </c>
      <c r="F143">
        <v>0</v>
      </c>
      <c r="G143">
        <v>0</v>
      </c>
      <c r="H143">
        <f t="shared" si="8"/>
        <v>0</v>
      </c>
      <c r="I143">
        <v>0</v>
      </c>
      <c r="J143">
        <f t="shared" si="9"/>
        <v>0</v>
      </c>
      <c r="K143">
        <v>0</v>
      </c>
      <c r="L143">
        <f t="shared" si="10"/>
        <v>0</v>
      </c>
      <c r="M143">
        <v>0</v>
      </c>
      <c r="N143">
        <f t="shared" si="11"/>
        <v>0</v>
      </c>
    </row>
    <row r="144" spans="1:14" x14ac:dyDescent="0.25">
      <c r="A144">
        <f>VLOOKUP(B144,Calculations!$A$2:$B$10,2)+VLOOKUP(C144,Calculations!$C$2:$D$7,2)+VLOOKUP(D144,Calculations!$E$2:$F$6,2)+VLOOKUP(E144,Calculations!$G$2:$H$6,2)</f>
        <v>1562</v>
      </c>
      <c r="B144" t="s">
        <v>51</v>
      </c>
      <c r="C144" t="s">
        <v>22</v>
      </c>
      <c r="D144" t="s">
        <v>13</v>
      </c>
      <c r="E144" t="s">
        <v>28</v>
      </c>
      <c r="F144">
        <v>0</v>
      </c>
      <c r="G144">
        <v>0</v>
      </c>
      <c r="H144">
        <f t="shared" si="8"/>
        <v>0</v>
      </c>
      <c r="I144">
        <v>0</v>
      </c>
      <c r="J144">
        <f t="shared" si="9"/>
        <v>0</v>
      </c>
      <c r="K144">
        <v>0</v>
      </c>
      <c r="L144">
        <f t="shared" si="10"/>
        <v>0</v>
      </c>
      <c r="M144">
        <v>0</v>
      </c>
      <c r="N144">
        <f t="shared" si="11"/>
        <v>0</v>
      </c>
    </row>
    <row r="145" spans="1:14" x14ac:dyDescent="0.25">
      <c r="A145">
        <f>VLOOKUP(B145,Calculations!$A$2:$B$10,2)+VLOOKUP(C145,Calculations!$C$2:$D$7,2)+VLOOKUP(D145,Calculations!$E$2:$F$6,2)+VLOOKUP(E145,Calculations!$G$2:$H$6,2)</f>
        <v>1563</v>
      </c>
      <c r="B145" t="s">
        <v>51</v>
      </c>
      <c r="C145" t="s">
        <v>22</v>
      </c>
      <c r="D145" t="s">
        <v>14</v>
      </c>
      <c r="E145" t="s">
        <v>28</v>
      </c>
      <c r="F145">
        <v>0</v>
      </c>
      <c r="G145">
        <v>0</v>
      </c>
      <c r="H145">
        <f t="shared" si="8"/>
        <v>0</v>
      </c>
      <c r="I145">
        <v>0</v>
      </c>
      <c r="J145">
        <f t="shared" si="9"/>
        <v>0</v>
      </c>
      <c r="K145">
        <v>0</v>
      </c>
      <c r="L145">
        <f t="shared" si="10"/>
        <v>0</v>
      </c>
      <c r="M145">
        <v>0</v>
      </c>
      <c r="N145">
        <f t="shared" si="11"/>
        <v>0</v>
      </c>
    </row>
    <row r="146" spans="1:14" x14ac:dyDescent="0.25">
      <c r="A146">
        <f>VLOOKUP(B146,Calculations!$A$2:$B$10,2)+VLOOKUP(C146,Calculations!$C$2:$D$7,2)+VLOOKUP(D146,Calculations!$E$2:$F$6,2)+VLOOKUP(E146,Calculations!$G$2:$H$6,2)</f>
        <v>1564</v>
      </c>
      <c r="B146" t="s">
        <v>51</v>
      </c>
      <c r="C146" t="s">
        <v>22</v>
      </c>
      <c r="D146" t="s">
        <v>15</v>
      </c>
      <c r="E146" t="s">
        <v>28</v>
      </c>
      <c r="F146">
        <v>0</v>
      </c>
      <c r="G146">
        <v>0</v>
      </c>
      <c r="H146">
        <f t="shared" si="8"/>
        <v>0</v>
      </c>
      <c r="I146">
        <v>0</v>
      </c>
      <c r="J146">
        <f t="shared" si="9"/>
        <v>0</v>
      </c>
      <c r="K146">
        <v>0</v>
      </c>
      <c r="L146">
        <f t="shared" si="10"/>
        <v>0</v>
      </c>
      <c r="M146">
        <v>0</v>
      </c>
      <c r="N146">
        <f t="shared" si="11"/>
        <v>0</v>
      </c>
    </row>
    <row r="147" spans="1:14" x14ac:dyDescent="0.25">
      <c r="A147">
        <f>VLOOKUP(B147,Calculations!$A$2:$B$10,2)+VLOOKUP(C147,Calculations!$C$2:$D$7,2)+VLOOKUP(D147,Calculations!$E$2:$F$6,2)+VLOOKUP(E147,Calculations!$G$2:$H$6,2)</f>
        <v>1571</v>
      </c>
      <c r="B147" t="s">
        <v>52</v>
      </c>
      <c r="C147" t="s">
        <v>22</v>
      </c>
      <c r="D147" t="s">
        <v>54</v>
      </c>
      <c r="E147" t="s">
        <v>28</v>
      </c>
      <c r="F147">
        <v>0</v>
      </c>
      <c r="G147">
        <v>0</v>
      </c>
      <c r="H147">
        <f t="shared" si="8"/>
        <v>0</v>
      </c>
      <c r="I147">
        <v>0</v>
      </c>
      <c r="J147">
        <f t="shared" si="9"/>
        <v>0</v>
      </c>
      <c r="K147">
        <v>0</v>
      </c>
      <c r="L147">
        <f t="shared" si="10"/>
        <v>0</v>
      </c>
      <c r="M147">
        <v>0</v>
      </c>
      <c r="N147">
        <f t="shared" si="11"/>
        <v>0</v>
      </c>
    </row>
    <row r="148" spans="1:14" x14ac:dyDescent="0.25">
      <c r="A148">
        <f>VLOOKUP(B148,Calculations!$A$2:$B$10,2)+VLOOKUP(C148,Calculations!$C$2:$D$7,2)+VLOOKUP(D148,Calculations!$E$2:$F$6,2)+VLOOKUP(E148,Calculations!$G$2:$H$6,2)</f>
        <v>1572</v>
      </c>
      <c r="B148" t="s">
        <v>52</v>
      </c>
      <c r="C148" t="s">
        <v>22</v>
      </c>
      <c r="D148" t="s">
        <v>13</v>
      </c>
      <c r="E148" t="s">
        <v>28</v>
      </c>
      <c r="F148">
        <v>0</v>
      </c>
      <c r="G148">
        <v>0</v>
      </c>
      <c r="H148">
        <f t="shared" si="8"/>
        <v>0</v>
      </c>
      <c r="I148">
        <v>0</v>
      </c>
      <c r="J148">
        <f t="shared" si="9"/>
        <v>0</v>
      </c>
      <c r="K148">
        <v>0</v>
      </c>
      <c r="L148">
        <f t="shared" si="10"/>
        <v>0</v>
      </c>
      <c r="M148">
        <v>0</v>
      </c>
      <c r="N148">
        <f t="shared" si="11"/>
        <v>0</v>
      </c>
    </row>
    <row r="149" spans="1:14" x14ac:dyDescent="0.25">
      <c r="A149">
        <f>VLOOKUP(B149,Calculations!$A$2:$B$10,2)+VLOOKUP(C149,Calculations!$C$2:$D$7,2)+VLOOKUP(D149,Calculations!$E$2:$F$6,2)+VLOOKUP(E149,Calculations!$G$2:$H$6,2)</f>
        <v>1573</v>
      </c>
      <c r="B149" t="s">
        <v>52</v>
      </c>
      <c r="C149" t="s">
        <v>22</v>
      </c>
      <c r="D149" t="s">
        <v>14</v>
      </c>
      <c r="E149" t="s">
        <v>28</v>
      </c>
      <c r="F149">
        <v>0</v>
      </c>
      <c r="G149">
        <v>0</v>
      </c>
      <c r="H149">
        <f t="shared" si="8"/>
        <v>0</v>
      </c>
      <c r="I149">
        <v>0</v>
      </c>
      <c r="J149">
        <f t="shared" si="9"/>
        <v>0</v>
      </c>
      <c r="K149">
        <v>0</v>
      </c>
      <c r="L149">
        <f t="shared" si="10"/>
        <v>0</v>
      </c>
      <c r="M149">
        <v>0</v>
      </c>
      <c r="N149">
        <f t="shared" si="11"/>
        <v>0</v>
      </c>
    </row>
    <row r="150" spans="1:14" x14ac:dyDescent="0.25">
      <c r="A150">
        <f>VLOOKUP(B150,Calculations!$A$2:$B$10,2)+VLOOKUP(C150,Calculations!$C$2:$D$7,2)+VLOOKUP(D150,Calculations!$E$2:$F$6,2)+VLOOKUP(E150,Calculations!$G$2:$H$6,2)</f>
        <v>1574</v>
      </c>
      <c r="B150" t="s">
        <v>52</v>
      </c>
      <c r="C150" t="s">
        <v>22</v>
      </c>
      <c r="D150" t="s">
        <v>15</v>
      </c>
      <c r="E150" t="s">
        <v>28</v>
      </c>
      <c r="F150">
        <v>0</v>
      </c>
      <c r="G150">
        <v>0</v>
      </c>
      <c r="H150">
        <f t="shared" si="8"/>
        <v>0</v>
      </c>
      <c r="I150">
        <v>0</v>
      </c>
      <c r="J150">
        <f t="shared" si="9"/>
        <v>0</v>
      </c>
      <c r="K150">
        <v>0</v>
      </c>
      <c r="L150">
        <f t="shared" si="10"/>
        <v>0</v>
      </c>
      <c r="M150">
        <v>0</v>
      </c>
      <c r="N150">
        <f t="shared" si="11"/>
        <v>0</v>
      </c>
    </row>
    <row r="151" spans="1:14" x14ac:dyDescent="0.25">
      <c r="A151">
        <f>VLOOKUP(B151,Calculations!$A$2:$B$10,2)+VLOOKUP(C151,Calculations!$C$2:$D$7,2)+VLOOKUP(D151,Calculations!$E$2:$F$6,2)+VLOOKUP(E151,Calculations!$G$2:$H$6,2)</f>
        <v>1581</v>
      </c>
      <c r="B151" t="s">
        <v>8</v>
      </c>
      <c r="C151" t="s">
        <v>22</v>
      </c>
      <c r="D151" t="s">
        <v>54</v>
      </c>
      <c r="E151" t="s">
        <v>28</v>
      </c>
      <c r="F151">
        <v>0</v>
      </c>
      <c r="G151">
        <v>0</v>
      </c>
      <c r="H151">
        <f t="shared" si="8"/>
        <v>0</v>
      </c>
      <c r="I151">
        <v>0</v>
      </c>
      <c r="J151">
        <f t="shared" si="9"/>
        <v>0</v>
      </c>
      <c r="K151">
        <v>0</v>
      </c>
      <c r="L151">
        <f t="shared" si="10"/>
        <v>0</v>
      </c>
      <c r="M151">
        <v>0</v>
      </c>
      <c r="N151">
        <f t="shared" si="11"/>
        <v>0</v>
      </c>
    </row>
    <row r="152" spans="1:14" x14ac:dyDescent="0.25">
      <c r="A152">
        <f>VLOOKUP(B152,Calculations!$A$2:$B$10,2)+VLOOKUP(C152,Calculations!$C$2:$D$7,2)+VLOOKUP(D152,Calculations!$E$2:$F$6,2)+VLOOKUP(E152,Calculations!$G$2:$H$6,2)</f>
        <v>1582</v>
      </c>
      <c r="B152" t="s">
        <v>8</v>
      </c>
      <c r="C152" t="s">
        <v>22</v>
      </c>
      <c r="D152" t="s">
        <v>13</v>
      </c>
      <c r="E152" t="s">
        <v>28</v>
      </c>
      <c r="F152">
        <v>0</v>
      </c>
      <c r="G152">
        <v>0</v>
      </c>
      <c r="H152">
        <f t="shared" si="8"/>
        <v>0</v>
      </c>
      <c r="I152">
        <v>0</v>
      </c>
      <c r="J152">
        <f t="shared" si="9"/>
        <v>0</v>
      </c>
      <c r="K152">
        <v>0</v>
      </c>
      <c r="L152">
        <f t="shared" si="10"/>
        <v>0</v>
      </c>
      <c r="M152">
        <v>0</v>
      </c>
      <c r="N152">
        <f t="shared" si="11"/>
        <v>0</v>
      </c>
    </row>
    <row r="153" spans="1:14" x14ac:dyDescent="0.25">
      <c r="A153">
        <f>VLOOKUP(B153,Calculations!$A$2:$B$10,2)+VLOOKUP(C153,Calculations!$C$2:$D$7,2)+VLOOKUP(D153,Calculations!$E$2:$F$6,2)+VLOOKUP(E153,Calculations!$G$2:$H$6,2)</f>
        <v>1583</v>
      </c>
      <c r="B153" t="s">
        <v>8</v>
      </c>
      <c r="C153" t="s">
        <v>22</v>
      </c>
      <c r="D153" t="s">
        <v>14</v>
      </c>
      <c r="E153" t="s">
        <v>28</v>
      </c>
      <c r="F153">
        <v>0</v>
      </c>
      <c r="G153">
        <v>0</v>
      </c>
      <c r="H153">
        <f t="shared" si="8"/>
        <v>0</v>
      </c>
      <c r="I153">
        <v>0</v>
      </c>
      <c r="J153">
        <f t="shared" si="9"/>
        <v>0</v>
      </c>
      <c r="K153">
        <v>0</v>
      </c>
      <c r="L153">
        <f t="shared" si="10"/>
        <v>0</v>
      </c>
      <c r="M153">
        <v>0</v>
      </c>
      <c r="N153">
        <f t="shared" si="11"/>
        <v>0</v>
      </c>
    </row>
    <row r="154" spans="1:14" x14ac:dyDescent="0.25">
      <c r="A154">
        <f>VLOOKUP(B154,Calculations!$A$2:$B$10,2)+VLOOKUP(C154,Calculations!$C$2:$D$7,2)+VLOOKUP(D154,Calculations!$E$2:$F$6,2)+VLOOKUP(E154,Calculations!$G$2:$H$6,2)</f>
        <v>1584</v>
      </c>
      <c r="B154" t="s">
        <v>8</v>
      </c>
      <c r="C154" t="s">
        <v>22</v>
      </c>
      <c r="D154" t="s">
        <v>15</v>
      </c>
      <c r="E154" t="s">
        <v>28</v>
      </c>
      <c r="F154">
        <v>0</v>
      </c>
      <c r="G154">
        <v>0</v>
      </c>
      <c r="H154">
        <f t="shared" si="8"/>
        <v>0</v>
      </c>
      <c r="I154">
        <v>0</v>
      </c>
      <c r="J154">
        <f t="shared" si="9"/>
        <v>0</v>
      </c>
      <c r="K154">
        <v>0</v>
      </c>
      <c r="L154">
        <f t="shared" si="10"/>
        <v>0</v>
      </c>
      <c r="M154">
        <v>0</v>
      </c>
      <c r="N154">
        <f t="shared" si="11"/>
        <v>0</v>
      </c>
    </row>
    <row r="155" spans="1:14" x14ac:dyDescent="0.25">
      <c r="A155">
        <f>VLOOKUP(B155,Calculations!$A$2:$B$10,2)+VLOOKUP(C155,Calculations!$C$2:$D$7,2)+VLOOKUP(D155,Calculations!$E$2:$F$6,2)+VLOOKUP(E155,Calculations!$G$2:$H$6,2)</f>
        <v>2200</v>
      </c>
      <c r="B155" t="s">
        <v>5</v>
      </c>
      <c r="C155" t="s">
        <v>16</v>
      </c>
      <c r="D155" t="s">
        <v>12</v>
      </c>
      <c r="E155" t="s">
        <v>30</v>
      </c>
      <c r="F155">
        <v>1</v>
      </c>
      <c r="G155">
        <v>0</v>
      </c>
      <c r="H155">
        <f t="shared" si="8"/>
        <v>0</v>
      </c>
      <c r="I155">
        <v>0</v>
      </c>
      <c r="J155">
        <f t="shared" si="9"/>
        <v>0</v>
      </c>
      <c r="K155">
        <v>1</v>
      </c>
      <c r="L155">
        <f t="shared" si="10"/>
        <v>2200</v>
      </c>
      <c r="M155">
        <v>1</v>
      </c>
      <c r="N155">
        <f t="shared" si="11"/>
        <v>2200</v>
      </c>
    </row>
    <row r="156" spans="1:14" x14ac:dyDescent="0.25">
      <c r="A156">
        <f>VLOOKUP(B156,Calculations!$A$2:$B$10,2)+VLOOKUP(C156,Calculations!$C$2:$D$7,2)+VLOOKUP(D156,Calculations!$E$2:$F$6,2)+VLOOKUP(E156,Calculations!$G$2:$H$6,2)</f>
        <v>2210</v>
      </c>
      <c r="B156" t="s">
        <v>6</v>
      </c>
      <c r="C156" t="s">
        <v>16</v>
      </c>
      <c r="D156" t="s">
        <v>12</v>
      </c>
      <c r="E156" t="s">
        <v>30</v>
      </c>
      <c r="F156">
        <v>1</v>
      </c>
      <c r="G156">
        <v>0</v>
      </c>
      <c r="H156">
        <f t="shared" si="8"/>
        <v>0</v>
      </c>
      <c r="I156">
        <v>0</v>
      </c>
      <c r="J156">
        <f t="shared" si="9"/>
        <v>0</v>
      </c>
      <c r="K156">
        <v>1</v>
      </c>
      <c r="L156">
        <f t="shared" si="10"/>
        <v>2210</v>
      </c>
      <c r="M156">
        <v>1</v>
      </c>
      <c r="N156">
        <f t="shared" si="11"/>
        <v>2210</v>
      </c>
    </row>
    <row r="157" spans="1:14" x14ac:dyDescent="0.25">
      <c r="A157">
        <f>VLOOKUP(B157,Calculations!$A$2:$B$10,2)+VLOOKUP(C157,Calculations!$C$2:$D$7,2)+VLOOKUP(D157,Calculations!$E$2:$F$6,2)+VLOOKUP(E157,Calculations!$G$2:$H$6,2)</f>
        <v>2220</v>
      </c>
      <c r="B157" t="s">
        <v>7</v>
      </c>
      <c r="C157" t="s">
        <v>16</v>
      </c>
      <c r="D157" t="s">
        <v>12</v>
      </c>
      <c r="E157" t="s">
        <v>30</v>
      </c>
      <c r="F157">
        <v>1</v>
      </c>
      <c r="G157">
        <v>0</v>
      </c>
      <c r="H157">
        <f t="shared" si="8"/>
        <v>0</v>
      </c>
      <c r="I157">
        <v>0</v>
      </c>
      <c r="J157">
        <f t="shared" si="9"/>
        <v>0</v>
      </c>
      <c r="K157">
        <v>1</v>
      </c>
      <c r="L157">
        <f t="shared" si="10"/>
        <v>2220</v>
      </c>
      <c r="M157">
        <v>1</v>
      </c>
      <c r="N157">
        <f t="shared" si="11"/>
        <v>2220</v>
      </c>
    </row>
    <row r="158" spans="1:14" x14ac:dyDescent="0.25">
      <c r="A158">
        <f>VLOOKUP(B158,Calculations!$A$2:$B$10,2)+VLOOKUP(C158,Calculations!$C$2:$D$7,2)+VLOOKUP(D158,Calculations!$E$2:$F$6,2)+VLOOKUP(E158,Calculations!$G$2:$H$6,2)</f>
        <v>2230</v>
      </c>
      <c r="B158" t="s">
        <v>53</v>
      </c>
      <c r="C158" t="s">
        <v>16</v>
      </c>
      <c r="D158" t="s">
        <v>12</v>
      </c>
      <c r="E158" t="s">
        <v>30</v>
      </c>
      <c r="F158">
        <v>0</v>
      </c>
      <c r="G158">
        <v>0</v>
      </c>
      <c r="H158">
        <f t="shared" si="8"/>
        <v>0</v>
      </c>
      <c r="I158">
        <v>0</v>
      </c>
      <c r="J158">
        <f t="shared" si="9"/>
        <v>0</v>
      </c>
      <c r="K158">
        <v>0</v>
      </c>
      <c r="L158">
        <f t="shared" si="10"/>
        <v>0</v>
      </c>
      <c r="M158">
        <v>0</v>
      </c>
      <c r="N158">
        <f t="shared" si="11"/>
        <v>0</v>
      </c>
    </row>
    <row r="159" spans="1:14" x14ac:dyDescent="0.25">
      <c r="A159">
        <f>VLOOKUP(B159,Calculations!$A$2:$B$10,2)+VLOOKUP(C159,Calculations!$C$2:$D$7,2)+VLOOKUP(D159,Calculations!$E$2:$F$6,2)+VLOOKUP(E159,Calculations!$G$2:$H$6,2)</f>
        <v>2240</v>
      </c>
      <c r="B159" t="s">
        <v>9</v>
      </c>
      <c r="C159" t="s">
        <v>16</v>
      </c>
      <c r="D159" t="s">
        <v>12</v>
      </c>
      <c r="E159" t="s">
        <v>30</v>
      </c>
      <c r="F159">
        <v>0</v>
      </c>
      <c r="G159">
        <v>0</v>
      </c>
      <c r="H159">
        <f t="shared" si="8"/>
        <v>0</v>
      </c>
      <c r="I159">
        <v>0</v>
      </c>
      <c r="J159">
        <f t="shared" si="9"/>
        <v>0</v>
      </c>
      <c r="K159">
        <v>0</v>
      </c>
      <c r="L159">
        <f t="shared" si="10"/>
        <v>0</v>
      </c>
      <c r="M159">
        <v>0</v>
      </c>
      <c r="N159">
        <f t="shared" si="11"/>
        <v>0</v>
      </c>
    </row>
    <row r="160" spans="1:14" x14ac:dyDescent="0.25">
      <c r="A160">
        <f>VLOOKUP(B160,Calculations!$A$2:$B$10,2)+VLOOKUP(C160,Calculations!$C$2:$D$7,2)+VLOOKUP(D160,Calculations!$E$2:$F$6,2)+VLOOKUP(E160,Calculations!$G$2:$H$6,2)</f>
        <v>2250</v>
      </c>
      <c r="B160" t="s">
        <v>50</v>
      </c>
      <c r="C160" t="s">
        <v>16</v>
      </c>
      <c r="D160" t="s">
        <v>12</v>
      </c>
      <c r="E160" t="s">
        <v>30</v>
      </c>
      <c r="F160">
        <v>0</v>
      </c>
      <c r="G160">
        <v>0</v>
      </c>
      <c r="H160">
        <f t="shared" si="8"/>
        <v>0</v>
      </c>
      <c r="I160">
        <v>0</v>
      </c>
      <c r="J160">
        <f t="shared" si="9"/>
        <v>0</v>
      </c>
      <c r="K160">
        <v>0</v>
      </c>
      <c r="L160">
        <f t="shared" si="10"/>
        <v>0</v>
      </c>
      <c r="M160">
        <v>0</v>
      </c>
      <c r="N160">
        <f t="shared" si="11"/>
        <v>0</v>
      </c>
    </row>
    <row r="161" spans="1:14" x14ac:dyDescent="0.25">
      <c r="A161">
        <f>VLOOKUP(B161,Calculations!$A$2:$B$10,2)+VLOOKUP(C161,Calculations!$C$2:$D$7,2)+VLOOKUP(D161,Calculations!$E$2:$F$6,2)+VLOOKUP(E161,Calculations!$G$2:$H$6,2)</f>
        <v>2260</v>
      </c>
      <c r="B161" t="s">
        <v>51</v>
      </c>
      <c r="C161" t="s">
        <v>16</v>
      </c>
      <c r="D161" t="s">
        <v>12</v>
      </c>
      <c r="E161" t="s">
        <v>30</v>
      </c>
      <c r="F161">
        <v>0</v>
      </c>
      <c r="G161">
        <v>0</v>
      </c>
      <c r="H161">
        <f t="shared" si="8"/>
        <v>0</v>
      </c>
      <c r="I161">
        <v>0</v>
      </c>
      <c r="J161">
        <f t="shared" si="9"/>
        <v>0</v>
      </c>
      <c r="K161">
        <v>0</v>
      </c>
      <c r="L161">
        <f t="shared" si="10"/>
        <v>0</v>
      </c>
      <c r="M161">
        <v>0</v>
      </c>
      <c r="N161">
        <f t="shared" si="11"/>
        <v>0</v>
      </c>
    </row>
    <row r="162" spans="1:14" x14ac:dyDescent="0.25">
      <c r="A162">
        <f>VLOOKUP(B162,Calculations!$A$2:$B$10,2)+VLOOKUP(C162,Calculations!$C$2:$D$7,2)+VLOOKUP(D162,Calculations!$E$2:$F$6,2)+VLOOKUP(E162,Calculations!$G$2:$H$6,2)</f>
        <v>2270</v>
      </c>
      <c r="B162" t="s">
        <v>52</v>
      </c>
      <c r="C162" t="s">
        <v>16</v>
      </c>
      <c r="D162" t="s">
        <v>12</v>
      </c>
      <c r="E162" t="s">
        <v>30</v>
      </c>
      <c r="F162">
        <v>0</v>
      </c>
      <c r="G162">
        <v>0</v>
      </c>
      <c r="H162">
        <f t="shared" si="8"/>
        <v>0</v>
      </c>
      <c r="I162">
        <v>0</v>
      </c>
      <c r="J162">
        <f t="shared" si="9"/>
        <v>0</v>
      </c>
      <c r="K162">
        <v>0</v>
      </c>
      <c r="L162">
        <f t="shared" si="10"/>
        <v>0</v>
      </c>
      <c r="M162">
        <v>0</v>
      </c>
      <c r="N162">
        <f t="shared" si="11"/>
        <v>0</v>
      </c>
    </row>
    <row r="163" spans="1:14" x14ac:dyDescent="0.25">
      <c r="A163">
        <f>VLOOKUP(B163,Calculations!$A$2:$B$10,2)+VLOOKUP(C163,Calculations!$C$2:$D$7,2)+VLOOKUP(D163,Calculations!$E$2:$F$6,2)+VLOOKUP(E163,Calculations!$G$2:$H$6,2)</f>
        <v>2280</v>
      </c>
      <c r="B163" t="s">
        <v>8</v>
      </c>
      <c r="C163" t="s">
        <v>16</v>
      </c>
      <c r="D163" t="s">
        <v>12</v>
      </c>
      <c r="E163" t="s">
        <v>30</v>
      </c>
      <c r="F163">
        <v>0</v>
      </c>
      <c r="G163">
        <v>0</v>
      </c>
      <c r="H163">
        <f t="shared" si="8"/>
        <v>0</v>
      </c>
      <c r="I163">
        <v>0</v>
      </c>
      <c r="J163">
        <f t="shared" si="9"/>
        <v>0</v>
      </c>
      <c r="K163">
        <v>0</v>
      </c>
      <c r="L163">
        <f t="shared" si="10"/>
        <v>0</v>
      </c>
      <c r="M163">
        <v>0</v>
      </c>
      <c r="N163">
        <f t="shared" si="11"/>
        <v>0</v>
      </c>
    </row>
    <row r="164" spans="1:14" x14ac:dyDescent="0.25">
      <c r="A164">
        <f>VLOOKUP(B164,Calculations!$A$2:$B$10,2)+VLOOKUP(C164,Calculations!$C$2:$D$7,2)+VLOOKUP(D164,Calculations!$E$2:$F$6,2)+VLOOKUP(E164,Calculations!$G$2:$H$6,2)</f>
        <v>2201</v>
      </c>
      <c r="B164" t="s">
        <v>5</v>
      </c>
      <c r="C164" t="s">
        <v>16</v>
      </c>
      <c r="D164" t="s">
        <v>54</v>
      </c>
      <c r="E164" t="s">
        <v>25</v>
      </c>
      <c r="F164">
        <v>1</v>
      </c>
      <c r="G164">
        <v>0</v>
      </c>
      <c r="H164">
        <f t="shared" si="8"/>
        <v>0</v>
      </c>
      <c r="I164">
        <v>0</v>
      </c>
      <c r="J164">
        <f t="shared" si="9"/>
        <v>0</v>
      </c>
      <c r="K164">
        <v>1</v>
      </c>
      <c r="L164">
        <f t="shared" si="10"/>
        <v>2201</v>
      </c>
      <c r="M164">
        <v>0</v>
      </c>
      <c r="N164">
        <f t="shared" si="11"/>
        <v>0</v>
      </c>
    </row>
    <row r="165" spans="1:14" x14ac:dyDescent="0.25">
      <c r="A165">
        <f>VLOOKUP(B165,Calculations!$A$2:$B$10,2)+VLOOKUP(C165,Calculations!$C$2:$D$7,2)+VLOOKUP(D165,Calculations!$E$2:$F$6,2)+VLOOKUP(E165,Calculations!$G$2:$H$6,2)</f>
        <v>2202</v>
      </c>
      <c r="B165" t="s">
        <v>5</v>
      </c>
      <c r="C165" t="s">
        <v>16</v>
      </c>
      <c r="D165" t="s">
        <v>13</v>
      </c>
      <c r="E165" t="s">
        <v>25</v>
      </c>
      <c r="F165">
        <v>1</v>
      </c>
      <c r="G165">
        <v>0</v>
      </c>
      <c r="H165">
        <f t="shared" si="8"/>
        <v>0</v>
      </c>
      <c r="I165">
        <v>0</v>
      </c>
      <c r="J165">
        <f t="shared" si="9"/>
        <v>0</v>
      </c>
      <c r="K165">
        <v>1</v>
      </c>
      <c r="L165">
        <f t="shared" si="10"/>
        <v>2202</v>
      </c>
      <c r="M165">
        <v>0</v>
      </c>
      <c r="N165">
        <f t="shared" si="11"/>
        <v>0</v>
      </c>
    </row>
    <row r="166" spans="1:14" x14ac:dyDescent="0.25">
      <c r="A166">
        <f>VLOOKUP(B166,Calculations!$A$2:$B$10,2)+VLOOKUP(C166,Calculations!$C$2:$D$7,2)+VLOOKUP(D166,Calculations!$E$2:$F$6,2)+VLOOKUP(E166,Calculations!$G$2:$H$6,2)</f>
        <v>2203</v>
      </c>
      <c r="B166" t="s">
        <v>5</v>
      </c>
      <c r="C166" t="s">
        <v>16</v>
      </c>
      <c r="D166" t="s">
        <v>14</v>
      </c>
      <c r="E166" t="s">
        <v>25</v>
      </c>
      <c r="F166">
        <v>1</v>
      </c>
      <c r="G166">
        <v>0</v>
      </c>
      <c r="H166">
        <f t="shared" si="8"/>
        <v>0</v>
      </c>
      <c r="I166">
        <v>0</v>
      </c>
      <c r="J166">
        <f t="shared" si="9"/>
        <v>0</v>
      </c>
      <c r="K166">
        <v>1</v>
      </c>
      <c r="L166">
        <f t="shared" si="10"/>
        <v>2203</v>
      </c>
      <c r="M166">
        <v>0</v>
      </c>
      <c r="N166">
        <f t="shared" si="11"/>
        <v>0</v>
      </c>
    </row>
    <row r="167" spans="1:14" x14ac:dyDescent="0.25">
      <c r="A167">
        <f>VLOOKUP(B167,Calculations!$A$2:$B$10,2)+VLOOKUP(C167,Calculations!$C$2:$D$7,2)+VLOOKUP(D167,Calculations!$E$2:$F$6,2)+VLOOKUP(E167,Calculations!$G$2:$H$6,2)</f>
        <v>2204</v>
      </c>
      <c r="B167" t="s">
        <v>5</v>
      </c>
      <c r="C167" t="s">
        <v>16</v>
      </c>
      <c r="D167" t="s">
        <v>15</v>
      </c>
      <c r="E167" t="s">
        <v>25</v>
      </c>
      <c r="F167">
        <v>0</v>
      </c>
      <c r="G167">
        <v>0</v>
      </c>
      <c r="H167">
        <f t="shared" si="8"/>
        <v>0</v>
      </c>
      <c r="I167">
        <v>0</v>
      </c>
      <c r="J167">
        <f t="shared" si="9"/>
        <v>0</v>
      </c>
      <c r="K167">
        <v>0</v>
      </c>
      <c r="L167">
        <f t="shared" si="10"/>
        <v>0</v>
      </c>
      <c r="M167">
        <v>0</v>
      </c>
      <c r="N167">
        <f t="shared" si="11"/>
        <v>0</v>
      </c>
    </row>
    <row r="168" spans="1:14" x14ac:dyDescent="0.25">
      <c r="A168">
        <f>VLOOKUP(B168,Calculations!$A$2:$B$10,2)+VLOOKUP(C168,Calculations!$C$2:$D$7,2)+VLOOKUP(D168,Calculations!$E$2:$F$6,2)+VLOOKUP(E168,Calculations!$G$2:$H$6,2)</f>
        <v>2211</v>
      </c>
      <c r="B168" t="s">
        <v>6</v>
      </c>
      <c r="C168" t="s">
        <v>16</v>
      </c>
      <c r="D168" t="s">
        <v>54</v>
      </c>
      <c r="E168" t="s">
        <v>25</v>
      </c>
      <c r="F168">
        <v>1</v>
      </c>
      <c r="G168">
        <v>0</v>
      </c>
      <c r="H168">
        <f t="shared" si="8"/>
        <v>0</v>
      </c>
      <c r="I168">
        <v>0</v>
      </c>
      <c r="J168">
        <f t="shared" si="9"/>
        <v>0</v>
      </c>
      <c r="K168">
        <v>1</v>
      </c>
      <c r="L168">
        <f t="shared" si="10"/>
        <v>2211</v>
      </c>
      <c r="M168">
        <v>0</v>
      </c>
      <c r="N168">
        <f t="shared" si="11"/>
        <v>0</v>
      </c>
    </row>
    <row r="169" spans="1:14" x14ac:dyDescent="0.25">
      <c r="A169">
        <f>VLOOKUP(B169,Calculations!$A$2:$B$10,2)+VLOOKUP(C169,Calculations!$C$2:$D$7,2)+VLOOKUP(D169,Calculations!$E$2:$F$6,2)+VLOOKUP(E169,Calculations!$G$2:$H$6,2)</f>
        <v>2212</v>
      </c>
      <c r="B169" t="s">
        <v>6</v>
      </c>
      <c r="C169" t="s">
        <v>16</v>
      </c>
      <c r="D169" t="s">
        <v>13</v>
      </c>
      <c r="E169" t="s">
        <v>25</v>
      </c>
      <c r="F169">
        <v>1</v>
      </c>
      <c r="G169">
        <v>0</v>
      </c>
      <c r="H169">
        <f t="shared" si="8"/>
        <v>0</v>
      </c>
      <c r="I169">
        <v>0</v>
      </c>
      <c r="J169">
        <f t="shared" si="9"/>
        <v>0</v>
      </c>
      <c r="K169">
        <v>1</v>
      </c>
      <c r="L169">
        <f t="shared" si="10"/>
        <v>2212</v>
      </c>
      <c r="M169">
        <v>0</v>
      </c>
      <c r="N169">
        <f t="shared" si="11"/>
        <v>0</v>
      </c>
    </row>
    <row r="170" spans="1:14" x14ac:dyDescent="0.25">
      <c r="A170">
        <f>VLOOKUP(B170,Calculations!$A$2:$B$10,2)+VLOOKUP(C170,Calculations!$C$2:$D$7,2)+VLOOKUP(D170,Calculations!$E$2:$F$6,2)+VLOOKUP(E170,Calculations!$G$2:$H$6,2)</f>
        <v>2213</v>
      </c>
      <c r="B170" t="s">
        <v>6</v>
      </c>
      <c r="C170" t="s">
        <v>16</v>
      </c>
      <c r="D170" t="s">
        <v>14</v>
      </c>
      <c r="E170" t="s">
        <v>25</v>
      </c>
      <c r="F170">
        <v>1</v>
      </c>
      <c r="G170">
        <v>0</v>
      </c>
      <c r="H170">
        <f t="shared" si="8"/>
        <v>0</v>
      </c>
      <c r="I170">
        <v>0</v>
      </c>
      <c r="J170">
        <f t="shared" si="9"/>
        <v>0</v>
      </c>
      <c r="K170">
        <v>1</v>
      </c>
      <c r="L170">
        <f t="shared" si="10"/>
        <v>2213</v>
      </c>
      <c r="M170">
        <v>0</v>
      </c>
      <c r="N170">
        <f t="shared" si="11"/>
        <v>0</v>
      </c>
    </row>
    <row r="171" spans="1:14" x14ac:dyDescent="0.25">
      <c r="A171">
        <f>VLOOKUP(B171,Calculations!$A$2:$B$10,2)+VLOOKUP(C171,Calculations!$C$2:$D$7,2)+VLOOKUP(D171,Calculations!$E$2:$F$6,2)+VLOOKUP(E171,Calculations!$G$2:$H$6,2)</f>
        <v>2214</v>
      </c>
      <c r="B171" t="s">
        <v>6</v>
      </c>
      <c r="C171" t="s">
        <v>16</v>
      </c>
      <c r="D171" t="s">
        <v>15</v>
      </c>
      <c r="E171" t="s">
        <v>25</v>
      </c>
      <c r="F171">
        <v>0</v>
      </c>
      <c r="G171">
        <v>0</v>
      </c>
      <c r="H171">
        <f t="shared" si="8"/>
        <v>0</v>
      </c>
      <c r="I171">
        <v>0</v>
      </c>
      <c r="J171">
        <f t="shared" si="9"/>
        <v>0</v>
      </c>
      <c r="K171">
        <v>0</v>
      </c>
      <c r="L171">
        <f t="shared" si="10"/>
        <v>0</v>
      </c>
      <c r="M171">
        <v>0</v>
      </c>
      <c r="N171">
        <f t="shared" si="11"/>
        <v>0</v>
      </c>
    </row>
    <row r="172" spans="1:14" ht="15.75" customHeight="1" x14ac:dyDescent="0.25">
      <c r="A172">
        <f>VLOOKUP(B172,Calculations!$A$2:$B$10,2)+VLOOKUP(C172,Calculations!$C$2:$D$7,2)+VLOOKUP(D172,Calculations!$E$2:$F$6,2)+VLOOKUP(E172,Calculations!$G$2:$H$6,2)</f>
        <v>2221</v>
      </c>
      <c r="B172" t="s">
        <v>7</v>
      </c>
      <c r="C172" t="s">
        <v>16</v>
      </c>
      <c r="D172" t="s">
        <v>54</v>
      </c>
      <c r="E172" t="s">
        <v>25</v>
      </c>
      <c r="F172">
        <v>1</v>
      </c>
      <c r="G172">
        <v>0</v>
      </c>
      <c r="H172">
        <f t="shared" si="8"/>
        <v>0</v>
      </c>
      <c r="I172">
        <v>0</v>
      </c>
      <c r="J172">
        <f t="shared" si="9"/>
        <v>0</v>
      </c>
      <c r="K172">
        <v>1</v>
      </c>
      <c r="L172">
        <f t="shared" si="10"/>
        <v>2221</v>
      </c>
      <c r="M172">
        <v>0</v>
      </c>
      <c r="N172">
        <f t="shared" si="11"/>
        <v>0</v>
      </c>
    </row>
    <row r="173" spans="1:14" x14ac:dyDescent="0.25">
      <c r="A173">
        <f>VLOOKUP(B173,Calculations!$A$2:$B$10,2)+VLOOKUP(C173,Calculations!$C$2:$D$7,2)+VLOOKUP(D173,Calculations!$E$2:$F$6,2)+VLOOKUP(E173,Calculations!$G$2:$H$6,2)</f>
        <v>2222</v>
      </c>
      <c r="B173" t="s">
        <v>7</v>
      </c>
      <c r="C173" t="s">
        <v>16</v>
      </c>
      <c r="D173" t="s">
        <v>13</v>
      </c>
      <c r="E173" t="s">
        <v>25</v>
      </c>
      <c r="F173">
        <v>1</v>
      </c>
      <c r="G173">
        <v>0</v>
      </c>
      <c r="H173">
        <f t="shared" si="8"/>
        <v>0</v>
      </c>
      <c r="I173">
        <v>0</v>
      </c>
      <c r="J173">
        <f t="shared" si="9"/>
        <v>0</v>
      </c>
      <c r="K173">
        <v>1</v>
      </c>
      <c r="L173">
        <f t="shared" si="10"/>
        <v>2222</v>
      </c>
      <c r="M173">
        <v>0</v>
      </c>
      <c r="N173">
        <f t="shared" si="11"/>
        <v>0</v>
      </c>
    </row>
    <row r="174" spans="1:14" x14ac:dyDescent="0.25">
      <c r="A174">
        <f>VLOOKUP(B174,Calculations!$A$2:$B$10,2)+VLOOKUP(C174,Calculations!$C$2:$D$7,2)+VLOOKUP(D174,Calculations!$E$2:$F$6,2)+VLOOKUP(E174,Calculations!$G$2:$H$6,2)</f>
        <v>2223</v>
      </c>
      <c r="B174" t="s">
        <v>7</v>
      </c>
      <c r="C174" t="s">
        <v>16</v>
      </c>
      <c r="D174" t="s">
        <v>14</v>
      </c>
      <c r="E174" t="s">
        <v>25</v>
      </c>
      <c r="F174">
        <v>1</v>
      </c>
      <c r="G174">
        <v>0</v>
      </c>
      <c r="H174">
        <f t="shared" si="8"/>
        <v>0</v>
      </c>
      <c r="I174">
        <v>0</v>
      </c>
      <c r="J174">
        <f t="shared" si="9"/>
        <v>0</v>
      </c>
      <c r="K174">
        <v>1</v>
      </c>
      <c r="L174">
        <f t="shared" si="10"/>
        <v>2223</v>
      </c>
      <c r="M174">
        <v>0</v>
      </c>
      <c r="N174">
        <f t="shared" si="11"/>
        <v>0</v>
      </c>
    </row>
    <row r="175" spans="1:14" x14ac:dyDescent="0.25">
      <c r="A175">
        <f>VLOOKUP(B175,Calculations!$A$2:$B$10,2)+VLOOKUP(C175,Calculations!$C$2:$D$7,2)+VLOOKUP(D175,Calculations!$E$2:$F$6,2)+VLOOKUP(E175,Calculations!$G$2:$H$6,2)</f>
        <v>2224</v>
      </c>
      <c r="B175" t="s">
        <v>7</v>
      </c>
      <c r="C175" t="s">
        <v>16</v>
      </c>
      <c r="D175" t="s">
        <v>15</v>
      </c>
      <c r="E175" t="s">
        <v>25</v>
      </c>
      <c r="F175">
        <v>1</v>
      </c>
      <c r="G175">
        <v>0</v>
      </c>
      <c r="H175">
        <f t="shared" si="8"/>
        <v>0</v>
      </c>
      <c r="I175">
        <v>0</v>
      </c>
      <c r="J175">
        <f t="shared" si="9"/>
        <v>0</v>
      </c>
      <c r="K175">
        <v>1</v>
      </c>
      <c r="L175">
        <f t="shared" si="10"/>
        <v>2224</v>
      </c>
      <c r="M175">
        <v>0</v>
      </c>
      <c r="N175">
        <f t="shared" si="11"/>
        <v>0</v>
      </c>
    </row>
    <row r="176" spans="1:14" x14ac:dyDescent="0.25">
      <c r="A176">
        <f>VLOOKUP(B176,Calculations!$A$2:$B$10,2)+VLOOKUP(C176,Calculations!$C$2:$D$7,2)+VLOOKUP(D176,Calculations!$E$2:$F$6,2)+VLOOKUP(E176,Calculations!$G$2:$H$6,2)</f>
        <v>2231</v>
      </c>
      <c r="B176" t="s">
        <v>53</v>
      </c>
      <c r="C176" t="s">
        <v>16</v>
      </c>
      <c r="D176" t="s">
        <v>54</v>
      </c>
      <c r="E176" t="s">
        <v>25</v>
      </c>
      <c r="F176">
        <v>0</v>
      </c>
      <c r="G176">
        <v>0</v>
      </c>
      <c r="H176">
        <f t="shared" si="8"/>
        <v>0</v>
      </c>
      <c r="I176">
        <v>0</v>
      </c>
      <c r="J176">
        <f t="shared" si="9"/>
        <v>0</v>
      </c>
      <c r="K176">
        <v>0</v>
      </c>
      <c r="L176">
        <f t="shared" si="10"/>
        <v>0</v>
      </c>
      <c r="M176">
        <v>0</v>
      </c>
      <c r="N176">
        <f t="shared" si="11"/>
        <v>0</v>
      </c>
    </row>
    <row r="177" spans="1:14" x14ac:dyDescent="0.25">
      <c r="A177">
        <f>VLOOKUP(B177,Calculations!$A$2:$B$10,2)+VLOOKUP(C177,Calculations!$C$2:$D$7,2)+VLOOKUP(D177,Calculations!$E$2:$F$6,2)+VLOOKUP(E177,Calculations!$G$2:$H$6,2)</f>
        <v>2232</v>
      </c>
      <c r="B177" t="s">
        <v>53</v>
      </c>
      <c r="C177" t="s">
        <v>16</v>
      </c>
      <c r="D177" t="s">
        <v>13</v>
      </c>
      <c r="E177" t="s">
        <v>25</v>
      </c>
      <c r="F177">
        <v>0</v>
      </c>
      <c r="G177">
        <v>0</v>
      </c>
      <c r="H177">
        <f t="shared" si="8"/>
        <v>0</v>
      </c>
      <c r="I177">
        <v>0</v>
      </c>
      <c r="J177">
        <f t="shared" si="9"/>
        <v>0</v>
      </c>
      <c r="K177">
        <v>0</v>
      </c>
      <c r="L177">
        <f t="shared" si="10"/>
        <v>0</v>
      </c>
      <c r="M177">
        <v>0</v>
      </c>
      <c r="N177">
        <f t="shared" si="11"/>
        <v>0</v>
      </c>
    </row>
    <row r="178" spans="1:14" x14ac:dyDescent="0.25">
      <c r="A178">
        <f>VLOOKUP(B178,Calculations!$A$2:$B$10,2)+VLOOKUP(C178,Calculations!$C$2:$D$7,2)+VLOOKUP(D178,Calculations!$E$2:$F$6,2)+VLOOKUP(E178,Calculations!$G$2:$H$6,2)</f>
        <v>2233</v>
      </c>
      <c r="B178" t="s">
        <v>53</v>
      </c>
      <c r="C178" t="s">
        <v>16</v>
      </c>
      <c r="D178" t="s">
        <v>14</v>
      </c>
      <c r="E178" t="s">
        <v>25</v>
      </c>
      <c r="F178">
        <v>0</v>
      </c>
      <c r="G178">
        <v>0</v>
      </c>
      <c r="H178">
        <f t="shared" si="8"/>
        <v>0</v>
      </c>
      <c r="I178">
        <v>0</v>
      </c>
      <c r="J178">
        <f t="shared" si="9"/>
        <v>0</v>
      </c>
      <c r="K178">
        <v>0</v>
      </c>
      <c r="L178">
        <f t="shared" si="10"/>
        <v>0</v>
      </c>
      <c r="M178">
        <v>0</v>
      </c>
      <c r="N178">
        <f t="shared" si="11"/>
        <v>0</v>
      </c>
    </row>
    <row r="179" spans="1:14" x14ac:dyDescent="0.25">
      <c r="A179">
        <f>VLOOKUP(B179,Calculations!$A$2:$B$10,2)+VLOOKUP(C179,Calculations!$C$2:$D$7,2)+VLOOKUP(D179,Calculations!$E$2:$F$6,2)+VLOOKUP(E179,Calculations!$G$2:$H$6,2)</f>
        <v>2234</v>
      </c>
      <c r="B179" t="s">
        <v>53</v>
      </c>
      <c r="C179" t="s">
        <v>16</v>
      </c>
      <c r="D179" t="s">
        <v>15</v>
      </c>
      <c r="E179" t="s">
        <v>25</v>
      </c>
      <c r="F179">
        <v>0</v>
      </c>
      <c r="G179">
        <v>0</v>
      </c>
      <c r="H179">
        <f t="shared" si="8"/>
        <v>0</v>
      </c>
      <c r="I179">
        <v>0</v>
      </c>
      <c r="J179">
        <f t="shared" si="9"/>
        <v>0</v>
      </c>
      <c r="K179">
        <v>0</v>
      </c>
      <c r="L179">
        <f t="shared" si="10"/>
        <v>0</v>
      </c>
      <c r="M179">
        <v>0</v>
      </c>
      <c r="N179">
        <f t="shared" si="11"/>
        <v>0</v>
      </c>
    </row>
    <row r="180" spans="1:14" x14ac:dyDescent="0.25">
      <c r="A180">
        <f>VLOOKUP(B180,Calculations!$A$2:$B$10,2)+VLOOKUP(C180,Calculations!$C$2:$D$7,2)+VLOOKUP(D180,Calculations!$E$2:$F$6,2)+VLOOKUP(E180,Calculations!$G$2:$H$6,2)</f>
        <v>2241</v>
      </c>
      <c r="B180" t="s">
        <v>9</v>
      </c>
      <c r="C180" t="s">
        <v>16</v>
      </c>
      <c r="D180" t="s">
        <v>54</v>
      </c>
      <c r="E180" t="s">
        <v>25</v>
      </c>
      <c r="F180">
        <v>0</v>
      </c>
      <c r="G180">
        <v>0</v>
      </c>
      <c r="H180">
        <f t="shared" si="8"/>
        <v>0</v>
      </c>
      <c r="I180">
        <v>0</v>
      </c>
      <c r="J180">
        <f t="shared" si="9"/>
        <v>0</v>
      </c>
      <c r="K180">
        <v>0</v>
      </c>
      <c r="L180">
        <f t="shared" si="10"/>
        <v>0</v>
      </c>
      <c r="M180">
        <v>0</v>
      </c>
      <c r="N180">
        <f t="shared" si="11"/>
        <v>0</v>
      </c>
    </row>
    <row r="181" spans="1:14" x14ac:dyDescent="0.25">
      <c r="A181">
        <f>VLOOKUP(B181,Calculations!$A$2:$B$10,2)+VLOOKUP(C181,Calculations!$C$2:$D$7,2)+VLOOKUP(D181,Calculations!$E$2:$F$6,2)+VLOOKUP(E181,Calculations!$G$2:$H$6,2)</f>
        <v>2242</v>
      </c>
      <c r="B181" t="s">
        <v>9</v>
      </c>
      <c r="C181" t="s">
        <v>16</v>
      </c>
      <c r="D181" t="s">
        <v>13</v>
      </c>
      <c r="E181" t="s">
        <v>25</v>
      </c>
      <c r="F181">
        <v>0</v>
      </c>
      <c r="G181">
        <v>0</v>
      </c>
      <c r="H181">
        <f t="shared" si="8"/>
        <v>0</v>
      </c>
      <c r="I181">
        <v>0</v>
      </c>
      <c r="J181">
        <f t="shared" si="9"/>
        <v>0</v>
      </c>
      <c r="K181">
        <v>0</v>
      </c>
      <c r="L181">
        <f t="shared" si="10"/>
        <v>0</v>
      </c>
      <c r="M181">
        <v>0</v>
      </c>
      <c r="N181">
        <f t="shared" si="11"/>
        <v>0</v>
      </c>
    </row>
    <row r="182" spans="1:14" x14ac:dyDescent="0.25">
      <c r="A182">
        <f>VLOOKUP(B182,Calculations!$A$2:$B$10,2)+VLOOKUP(C182,Calculations!$C$2:$D$7,2)+VLOOKUP(D182,Calculations!$E$2:$F$6,2)+VLOOKUP(E182,Calculations!$G$2:$H$6,2)</f>
        <v>2243</v>
      </c>
      <c r="B182" t="s">
        <v>9</v>
      </c>
      <c r="C182" t="s">
        <v>16</v>
      </c>
      <c r="D182" t="s">
        <v>14</v>
      </c>
      <c r="E182" t="s">
        <v>25</v>
      </c>
      <c r="F182">
        <v>0</v>
      </c>
      <c r="G182">
        <v>0</v>
      </c>
      <c r="H182">
        <f t="shared" si="8"/>
        <v>0</v>
      </c>
      <c r="I182">
        <v>0</v>
      </c>
      <c r="J182">
        <f t="shared" si="9"/>
        <v>0</v>
      </c>
      <c r="K182">
        <v>0</v>
      </c>
      <c r="L182">
        <f t="shared" si="10"/>
        <v>0</v>
      </c>
      <c r="M182">
        <v>0</v>
      </c>
      <c r="N182">
        <f t="shared" si="11"/>
        <v>0</v>
      </c>
    </row>
    <row r="183" spans="1:14" x14ac:dyDescent="0.25">
      <c r="A183">
        <f>VLOOKUP(B183,Calculations!$A$2:$B$10,2)+VLOOKUP(C183,Calculations!$C$2:$D$7,2)+VLOOKUP(D183,Calculations!$E$2:$F$6,2)+VLOOKUP(E183,Calculations!$G$2:$H$6,2)</f>
        <v>2244</v>
      </c>
      <c r="B183" t="s">
        <v>9</v>
      </c>
      <c r="C183" t="s">
        <v>16</v>
      </c>
      <c r="D183" t="s">
        <v>15</v>
      </c>
      <c r="E183" t="s">
        <v>25</v>
      </c>
      <c r="F183">
        <v>0</v>
      </c>
      <c r="G183">
        <v>0</v>
      </c>
      <c r="H183">
        <f t="shared" si="8"/>
        <v>0</v>
      </c>
      <c r="I183">
        <v>0</v>
      </c>
      <c r="J183">
        <f t="shared" si="9"/>
        <v>0</v>
      </c>
      <c r="K183">
        <v>0</v>
      </c>
      <c r="L183">
        <f t="shared" si="10"/>
        <v>0</v>
      </c>
      <c r="M183">
        <v>0</v>
      </c>
      <c r="N183">
        <f t="shared" si="11"/>
        <v>0</v>
      </c>
    </row>
    <row r="184" spans="1:14" x14ac:dyDescent="0.25">
      <c r="A184">
        <f>VLOOKUP(B184,Calculations!$A$2:$B$10,2)+VLOOKUP(C184,Calculations!$C$2:$D$7,2)+VLOOKUP(D184,Calculations!$E$2:$F$6,2)+VLOOKUP(E184,Calculations!$G$2:$H$6,2)</f>
        <v>2251</v>
      </c>
      <c r="B184" t="s">
        <v>50</v>
      </c>
      <c r="C184" t="s">
        <v>16</v>
      </c>
      <c r="D184" t="s">
        <v>54</v>
      </c>
      <c r="E184" t="s">
        <v>25</v>
      </c>
      <c r="F184">
        <v>0</v>
      </c>
      <c r="G184">
        <v>0</v>
      </c>
      <c r="H184">
        <f t="shared" si="8"/>
        <v>0</v>
      </c>
      <c r="I184">
        <v>0</v>
      </c>
      <c r="J184">
        <f t="shared" si="9"/>
        <v>0</v>
      </c>
      <c r="K184">
        <v>0</v>
      </c>
      <c r="L184">
        <f t="shared" si="10"/>
        <v>0</v>
      </c>
      <c r="M184">
        <v>0</v>
      </c>
      <c r="N184">
        <f t="shared" si="11"/>
        <v>0</v>
      </c>
    </row>
    <row r="185" spans="1:14" x14ac:dyDescent="0.25">
      <c r="A185">
        <f>VLOOKUP(B185,Calculations!$A$2:$B$10,2)+VLOOKUP(C185,Calculations!$C$2:$D$7,2)+VLOOKUP(D185,Calculations!$E$2:$F$6,2)+VLOOKUP(E185,Calculations!$G$2:$H$6,2)</f>
        <v>2252</v>
      </c>
      <c r="B185" t="s">
        <v>50</v>
      </c>
      <c r="C185" t="s">
        <v>16</v>
      </c>
      <c r="D185" t="s">
        <v>13</v>
      </c>
      <c r="E185" t="s">
        <v>25</v>
      </c>
      <c r="F185">
        <v>0</v>
      </c>
      <c r="G185">
        <v>0</v>
      </c>
      <c r="H185">
        <f t="shared" si="8"/>
        <v>0</v>
      </c>
      <c r="I185">
        <v>0</v>
      </c>
      <c r="J185">
        <f t="shared" si="9"/>
        <v>0</v>
      </c>
      <c r="K185">
        <v>0</v>
      </c>
      <c r="L185">
        <f t="shared" si="10"/>
        <v>0</v>
      </c>
      <c r="M185">
        <v>0</v>
      </c>
      <c r="N185">
        <f t="shared" si="11"/>
        <v>0</v>
      </c>
    </row>
    <row r="186" spans="1:14" x14ac:dyDescent="0.25">
      <c r="A186">
        <f>VLOOKUP(B186,Calculations!$A$2:$B$10,2)+VLOOKUP(C186,Calculations!$C$2:$D$7,2)+VLOOKUP(D186,Calculations!$E$2:$F$6,2)+VLOOKUP(E186,Calculations!$G$2:$H$6,2)</f>
        <v>2253</v>
      </c>
      <c r="B186" t="s">
        <v>50</v>
      </c>
      <c r="C186" t="s">
        <v>16</v>
      </c>
      <c r="D186" t="s">
        <v>14</v>
      </c>
      <c r="E186" t="s">
        <v>25</v>
      </c>
      <c r="F186">
        <v>0</v>
      </c>
      <c r="G186">
        <v>0</v>
      </c>
      <c r="H186">
        <f t="shared" si="8"/>
        <v>0</v>
      </c>
      <c r="I186">
        <v>0</v>
      </c>
      <c r="J186">
        <f t="shared" si="9"/>
        <v>0</v>
      </c>
      <c r="K186">
        <v>0</v>
      </c>
      <c r="L186">
        <f t="shared" si="10"/>
        <v>0</v>
      </c>
      <c r="M186">
        <v>0</v>
      </c>
      <c r="N186">
        <f t="shared" si="11"/>
        <v>0</v>
      </c>
    </row>
    <row r="187" spans="1:14" x14ac:dyDescent="0.25">
      <c r="A187">
        <f>VLOOKUP(B187,Calculations!$A$2:$B$10,2)+VLOOKUP(C187,Calculations!$C$2:$D$7,2)+VLOOKUP(D187,Calculations!$E$2:$F$6,2)+VLOOKUP(E187,Calculations!$G$2:$H$6,2)</f>
        <v>2254</v>
      </c>
      <c r="B187" t="s">
        <v>50</v>
      </c>
      <c r="C187" t="s">
        <v>16</v>
      </c>
      <c r="D187" t="s">
        <v>15</v>
      </c>
      <c r="E187" t="s">
        <v>25</v>
      </c>
      <c r="F187">
        <v>0</v>
      </c>
      <c r="G187">
        <v>0</v>
      </c>
      <c r="H187">
        <f t="shared" si="8"/>
        <v>0</v>
      </c>
      <c r="I187">
        <v>0</v>
      </c>
      <c r="J187">
        <f t="shared" si="9"/>
        <v>0</v>
      </c>
      <c r="K187">
        <v>0</v>
      </c>
      <c r="L187">
        <f t="shared" si="10"/>
        <v>0</v>
      </c>
      <c r="M187">
        <v>0</v>
      </c>
      <c r="N187">
        <f t="shared" si="11"/>
        <v>0</v>
      </c>
    </row>
    <row r="188" spans="1:14" x14ac:dyDescent="0.25">
      <c r="A188">
        <f>VLOOKUP(B188,Calculations!$A$2:$B$10,2)+VLOOKUP(C188,Calculations!$C$2:$D$7,2)+VLOOKUP(D188,Calculations!$E$2:$F$6,2)+VLOOKUP(E188,Calculations!$G$2:$H$6,2)</f>
        <v>2261</v>
      </c>
      <c r="B188" t="s">
        <v>51</v>
      </c>
      <c r="C188" t="s">
        <v>16</v>
      </c>
      <c r="D188" t="s">
        <v>54</v>
      </c>
      <c r="E188" t="s">
        <v>25</v>
      </c>
      <c r="F188">
        <v>0</v>
      </c>
      <c r="G188">
        <v>0</v>
      </c>
      <c r="H188">
        <f t="shared" si="8"/>
        <v>0</v>
      </c>
      <c r="I188">
        <v>0</v>
      </c>
      <c r="J188">
        <f t="shared" si="9"/>
        <v>0</v>
      </c>
      <c r="K188">
        <v>1</v>
      </c>
      <c r="L188">
        <f t="shared" si="10"/>
        <v>2261</v>
      </c>
      <c r="M188">
        <v>0</v>
      </c>
      <c r="N188">
        <f t="shared" si="11"/>
        <v>0</v>
      </c>
    </row>
    <row r="189" spans="1:14" x14ac:dyDescent="0.25">
      <c r="A189">
        <f>VLOOKUP(B189,Calculations!$A$2:$B$10,2)+VLOOKUP(C189,Calculations!$C$2:$D$7,2)+VLOOKUP(D189,Calculations!$E$2:$F$6,2)+VLOOKUP(E189,Calculations!$G$2:$H$6,2)</f>
        <v>2262</v>
      </c>
      <c r="B189" t="s">
        <v>51</v>
      </c>
      <c r="C189" t="s">
        <v>16</v>
      </c>
      <c r="D189" t="s">
        <v>13</v>
      </c>
      <c r="E189" t="s">
        <v>25</v>
      </c>
      <c r="F189">
        <v>0</v>
      </c>
      <c r="G189">
        <v>0</v>
      </c>
      <c r="H189">
        <f t="shared" si="8"/>
        <v>0</v>
      </c>
      <c r="I189">
        <v>0</v>
      </c>
      <c r="J189">
        <f t="shared" si="9"/>
        <v>0</v>
      </c>
      <c r="K189">
        <v>0</v>
      </c>
      <c r="L189">
        <f t="shared" si="10"/>
        <v>0</v>
      </c>
      <c r="M189">
        <v>0</v>
      </c>
      <c r="N189">
        <f t="shared" si="11"/>
        <v>0</v>
      </c>
    </row>
    <row r="190" spans="1:14" x14ac:dyDescent="0.25">
      <c r="A190">
        <f>VLOOKUP(B190,Calculations!$A$2:$B$10,2)+VLOOKUP(C190,Calculations!$C$2:$D$7,2)+VLOOKUP(D190,Calculations!$E$2:$F$6,2)+VLOOKUP(E190,Calculations!$G$2:$H$6,2)</f>
        <v>2263</v>
      </c>
      <c r="B190" t="s">
        <v>51</v>
      </c>
      <c r="C190" t="s">
        <v>16</v>
      </c>
      <c r="D190" t="s">
        <v>14</v>
      </c>
      <c r="E190" t="s">
        <v>25</v>
      </c>
      <c r="F190">
        <v>0</v>
      </c>
      <c r="G190">
        <v>0</v>
      </c>
      <c r="H190">
        <f t="shared" si="8"/>
        <v>0</v>
      </c>
      <c r="I190">
        <v>0</v>
      </c>
      <c r="J190">
        <f t="shared" si="9"/>
        <v>0</v>
      </c>
      <c r="K190">
        <v>0</v>
      </c>
      <c r="L190">
        <f t="shared" si="10"/>
        <v>0</v>
      </c>
      <c r="M190">
        <v>0</v>
      </c>
      <c r="N190">
        <f t="shared" si="11"/>
        <v>0</v>
      </c>
    </row>
    <row r="191" spans="1:14" x14ac:dyDescent="0.25">
      <c r="A191">
        <f>VLOOKUP(B191,Calculations!$A$2:$B$10,2)+VLOOKUP(C191,Calculations!$C$2:$D$7,2)+VLOOKUP(D191,Calculations!$E$2:$F$6,2)+VLOOKUP(E191,Calculations!$G$2:$H$6,2)</f>
        <v>2264</v>
      </c>
      <c r="B191" t="s">
        <v>51</v>
      </c>
      <c r="C191" t="s">
        <v>16</v>
      </c>
      <c r="D191" t="s">
        <v>15</v>
      </c>
      <c r="E191" t="s">
        <v>25</v>
      </c>
      <c r="F191">
        <v>0</v>
      </c>
      <c r="G191">
        <v>0</v>
      </c>
      <c r="H191">
        <f t="shared" si="8"/>
        <v>0</v>
      </c>
      <c r="I191">
        <v>0</v>
      </c>
      <c r="J191">
        <f t="shared" si="9"/>
        <v>0</v>
      </c>
      <c r="K191">
        <v>0</v>
      </c>
      <c r="L191">
        <f t="shared" si="10"/>
        <v>0</v>
      </c>
      <c r="M191">
        <v>0</v>
      </c>
      <c r="N191">
        <f t="shared" si="11"/>
        <v>0</v>
      </c>
    </row>
    <row r="192" spans="1:14" x14ac:dyDescent="0.25">
      <c r="A192">
        <f>VLOOKUP(B192,Calculations!$A$2:$B$10,2)+VLOOKUP(C192,Calculations!$C$2:$D$7,2)+VLOOKUP(D192,Calculations!$E$2:$F$6,2)+VLOOKUP(E192,Calculations!$G$2:$H$6,2)</f>
        <v>2271</v>
      </c>
      <c r="B192" t="s">
        <v>52</v>
      </c>
      <c r="C192" t="s">
        <v>16</v>
      </c>
      <c r="D192" t="s">
        <v>54</v>
      </c>
      <c r="E192" t="s">
        <v>25</v>
      </c>
      <c r="F192">
        <v>0</v>
      </c>
      <c r="G192">
        <v>0</v>
      </c>
      <c r="H192">
        <f t="shared" si="8"/>
        <v>0</v>
      </c>
      <c r="I192">
        <v>0</v>
      </c>
      <c r="J192">
        <f t="shared" si="9"/>
        <v>0</v>
      </c>
      <c r="K192">
        <v>0</v>
      </c>
      <c r="L192">
        <f t="shared" si="10"/>
        <v>0</v>
      </c>
      <c r="M192">
        <v>0</v>
      </c>
      <c r="N192">
        <f t="shared" si="11"/>
        <v>0</v>
      </c>
    </row>
    <row r="193" spans="1:14" x14ac:dyDescent="0.25">
      <c r="A193">
        <f>VLOOKUP(B193,Calculations!$A$2:$B$10,2)+VLOOKUP(C193,Calculations!$C$2:$D$7,2)+VLOOKUP(D193,Calculations!$E$2:$F$6,2)+VLOOKUP(E193,Calculations!$G$2:$H$6,2)</f>
        <v>2272</v>
      </c>
      <c r="B193" t="s">
        <v>52</v>
      </c>
      <c r="C193" t="s">
        <v>16</v>
      </c>
      <c r="D193" t="s">
        <v>13</v>
      </c>
      <c r="E193" t="s">
        <v>25</v>
      </c>
      <c r="F193">
        <v>0</v>
      </c>
      <c r="G193">
        <v>0</v>
      </c>
      <c r="H193">
        <f t="shared" si="8"/>
        <v>0</v>
      </c>
      <c r="I193">
        <v>0</v>
      </c>
      <c r="J193">
        <f t="shared" si="9"/>
        <v>0</v>
      </c>
      <c r="K193">
        <v>0</v>
      </c>
      <c r="L193">
        <f t="shared" si="10"/>
        <v>0</v>
      </c>
      <c r="M193">
        <v>0</v>
      </c>
      <c r="N193">
        <f t="shared" si="11"/>
        <v>0</v>
      </c>
    </row>
    <row r="194" spans="1:14" x14ac:dyDescent="0.25">
      <c r="A194">
        <f>VLOOKUP(B194,Calculations!$A$2:$B$10,2)+VLOOKUP(C194,Calculations!$C$2:$D$7,2)+VLOOKUP(D194,Calculations!$E$2:$F$6,2)+VLOOKUP(E194,Calculations!$G$2:$H$6,2)</f>
        <v>2273</v>
      </c>
      <c r="B194" t="s">
        <v>52</v>
      </c>
      <c r="C194" t="s">
        <v>16</v>
      </c>
      <c r="D194" t="s">
        <v>14</v>
      </c>
      <c r="E194" t="s">
        <v>25</v>
      </c>
      <c r="F194">
        <v>0</v>
      </c>
      <c r="G194">
        <v>0</v>
      </c>
      <c r="H194">
        <f t="shared" ref="H194:H257" si="12">A194*G194</f>
        <v>0</v>
      </c>
      <c r="I194">
        <v>0</v>
      </c>
      <c r="J194">
        <f t="shared" ref="J194:J257" si="13">A194*I194</f>
        <v>0</v>
      </c>
      <c r="K194">
        <v>0</v>
      </c>
      <c r="L194">
        <f t="shared" ref="L194:L257" si="14">K194*A194</f>
        <v>0</v>
      </c>
      <c r="M194">
        <v>0</v>
      </c>
      <c r="N194">
        <f t="shared" ref="N194:N257" si="15">A194*M194</f>
        <v>0</v>
      </c>
    </row>
    <row r="195" spans="1:14" x14ac:dyDescent="0.25">
      <c r="A195">
        <f>VLOOKUP(B195,Calculations!$A$2:$B$10,2)+VLOOKUP(C195,Calculations!$C$2:$D$7,2)+VLOOKUP(D195,Calculations!$E$2:$F$6,2)+VLOOKUP(E195,Calculations!$G$2:$H$6,2)</f>
        <v>2274</v>
      </c>
      <c r="B195" t="s">
        <v>52</v>
      </c>
      <c r="C195" t="s">
        <v>16</v>
      </c>
      <c r="D195" t="s">
        <v>15</v>
      </c>
      <c r="E195" t="s">
        <v>25</v>
      </c>
      <c r="F195">
        <v>0</v>
      </c>
      <c r="G195">
        <v>0</v>
      </c>
      <c r="H195">
        <f t="shared" si="12"/>
        <v>0</v>
      </c>
      <c r="I195">
        <v>0</v>
      </c>
      <c r="J195">
        <f t="shared" si="13"/>
        <v>0</v>
      </c>
      <c r="K195">
        <v>0</v>
      </c>
      <c r="L195">
        <f t="shared" si="14"/>
        <v>0</v>
      </c>
      <c r="M195">
        <v>0</v>
      </c>
      <c r="N195">
        <f t="shared" si="15"/>
        <v>0</v>
      </c>
    </row>
    <row r="196" spans="1:14" x14ac:dyDescent="0.25">
      <c r="A196">
        <f>VLOOKUP(B196,Calculations!$A$2:$B$10,2)+VLOOKUP(C196,Calculations!$C$2:$D$7,2)+VLOOKUP(D196,Calculations!$E$2:$F$6,2)+VLOOKUP(E196,Calculations!$G$2:$H$6,2)</f>
        <v>2281</v>
      </c>
      <c r="B196" t="s">
        <v>8</v>
      </c>
      <c r="C196" t="s">
        <v>16</v>
      </c>
      <c r="D196" t="s">
        <v>54</v>
      </c>
      <c r="E196" t="s">
        <v>25</v>
      </c>
      <c r="F196">
        <v>0</v>
      </c>
      <c r="G196">
        <v>0</v>
      </c>
      <c r="H196">
        <f t="shared" si="12"/>
        <v>0</v>
      </c>
      <c r="I196">
        <v>0</v>
      </c>
      <c r="J196">
        <f t="shared" si="13"/>
        <v>0</v>
      </c>
      <c r="K196">
        <v>0</v>
      </c>
      <c r="L196">
        <f t="shared" si="14"/>
        <v>0</v>
      </c>
      <c r="M196">
        <v>0</v>
      </c>
      <c r="N196">
        <f t="shared" si="15"/>
        <v>0</v>
      </c>
    </row>
    <row r="197" spans="1:14" x14ac:dyDescent="0.25">
      <c r="A197">
        <f>VLOOKUP(B197,Calculations!$A$2:$B$10,2)+VLOOKUP(C197,Calculations!$C$2:$D$7,2)+VLOOKUP(D197,Calculations!$E$2:$F$6,2)+VLOOKUP(E197,Calculations!$G$2:$H$6,2)</f>
        <v>2282</v>
      </c>
      <c r="B197" t="s">
        <v>8</v>
      </c>
      <c r="C197" t="s">
        <v>16</v>
      </c>
      <c r="D197" t="s">
        <v>13</v>
      </c>
      <c r="E197" t="s">
        <v>25</v>
      </c>
      <c r="F197">
        <v>0</v>
      </c>
      <c r="G197">
        <v>0</v>
      </c>
      <c r="H197">
        <f t="shared" si="12"/>
        <v>0</v>
      </c>
      <c r="I197">
        <v>0</v>
      </c>
      <c r="J197">
        <f t="shared" si="13"/>
        <v>0</v>
      </c>
      <c r="K197">
        <v>0</v>
      </c>
      <c r="L197">
        <f t="shared" si="14"/>
        <v>0</v>
      </c>
      <c r="M197">
        <v>0</v>
      </c>
      <c r="N197">
        <f t="shared" si="15"/>
        <v>0</v>
      </c>
    </row>
    <row r="198" spans="1:14" x14ac:dyDescent="0.25">
      <c r="A198">
        <f>VLOOKUP(B198,Calculations!$A$2:$B$10,2)+VLOOKUP(C198,Calculations!$C$2:$D$7,2)+VLOOKUP(D198,Calculations!$E$2:$F$6,2)+VLOOKUP(E198,Calculations!$G$2:$H$6,2)</f>
        <v>2283</v>
      </c>
      <c r="B198" t="s">
        <v>8</v>
      </c>
      <c r="C198" t="s">
        <v>16</v>
      </c>
      <c r="D198" t="s">
        <v>14</v>
      </c>
      <c r="E198" t="s">
        <v>25</v>
      </c>
      <c r="F198">
        <v>0</v>
      </c>
      <c r="G198">
        <v>0</v>
      </c>
      <c r="H198">
        <f t="shared" si="12"/>
        <v>0</v>
      </c>
      <c r="I198">
        <v>0</v>
      </c>
      <c r="J198">
        <f t="shared" si="13"/>
        <v>0</v>
      </c>
      <c r="K198">
        <v>0</v>
      </c>
      <c r="L198">
        <f t="shared" si="14"/>
        <v>0</v>
      </c>
      <c r="M198">
        <v>0</v>
      </c>
      <c r="N198">
        <f t="shared" si="15"/>
        <v>0</v>
      </c>
    </row>
    <row r="199" spans="1:14" x14ac:dyDescent="0.25">
      <c r="A199">
        <f>VLOOKUP(B199,Calculations!$A$2:$B$10,2)+VLOOKUP(C199,Calculations!$C$2:$D$7,2)+VLOOKUP(D199,Calculations!$E$2:$F$6,2)+VLOOKUP(E199,Calculations!$G$2:$H$6,2)</f>
        <v>2284</v>
      </c>
      <c r="B199" t="s">
        <v>8</v>
      </c>
      <c r="C199" t="s">
        <v>16</v>
      </c>
      <c r="D199" t="s">
        <v>15</v>
      </c>
      <c r="E199" t="s">
        <v>25</v>
      </c>
      <c r="F199">
        <v>0</v>
      </c>
      <c r="G199">
        <v>0</v>
      </c>
      <c r="H199">
        <f t="shared" si="12"/>
        <v>0</v>
      </c>
      <c r="I199">
        <v>0</v>
      </c>
      <c r="J199">
        <f t="shared" si="13"/>
        <v>0</v>
      </c>
      <c r="K199">
        <v>0</v>
      </c>
      <c r="L199">
        <f t="shared" si="14"/>
        <v>0</v>
      </c>
      <c r="M199">
        <v>0</v>
      </c>
      <c r="N199">
        <f t="shared" si="15"/>
        <v>0</v>
      </c>
    </row>
    <row r="200" spans="1:14" x14ac:dyDescent="0.25">
      <c r="A200">
        <f>VLOOKUP(B200,Calculations!$A$2:$B$10,2)+VLOOKUP(C200,Calculations!$C$2:$D$7,2)+VLOOKUP(D200,Calculations!$E$2:$F$6,2)+VLOOKUP(E200,Calculations!$G$2:$H$6,2)</f>
        <v>2301</v>
      </c>
      <c r="B200" t="s">
        <v>5</v>
      </c>
      <c r="C200" t="s">
        <v>16</v>
      </c>
      <c r="D200" t="s">
        <v>54</v>
      </c>
      <c r="E200" t="s">
        <v>26</v>
      </c>
      <c r="F200">
        <v>1</v>
      </c>
      <c r="G200">
        <v>0</v>
      </c>
      <c r="H200">
        <f t="shared" si="12"/>
        <v>0</v>
      </c>
      <c r="I200">
        <v>0</v>
      </c>
      <c r="J200">
        <f t="shared" si="13"/>
        <v>0</v>
      </c>
      <c r="K200">
        <v>1</v>
      </c>
      <c r="L200">
        <f t="shared" si="14"/>
        <v>2301</v>
      </c>
      <c r="M200">
        <v>1</v>
      </c>
      <c r="N200">
        <f t="shared" si="15"/>
        <v>2301</v>
      </c>
    </row>
    <row r="201" spans="1:14" x14ac:dyDescent="0.25">
      <c r="A201">
        <f>VLOOKUP(B201,Calculations!$A$2:$B$10,2)+VLOOKUP(C201,Calculations!$C$2:$D$7,2)+VLOOKUP(D201,Calculations!$E$2:$F$6,2)+VLOOKUP(E201,Calculations!$G$2:$H$6,2)</f>
        <v>2302</v>
      </c>
      <c r="B201" t="s">
        <v>5</v>
      </c>
      <c r="C201" t="s">
        <v>16</v>
      </c>
      <c r="D201" t="s">
        <v>13</v>
      </c>
      <c r="E201" t="s">
        <v>26</v>
      </c>
      <c r="F201">
        <v>1</v>
      </c>
      <c r="G201">
        <v>0</v>
      </c>
      <c r="H201">
        <f t="shared" si="12"/>
        <v>0</v>
      </c>
      <c r="I201">
        <v>0</v>
      </c>
      <c r="J201">
        <f t="shared" si="13"/>
        <v>0</v>
      </c>
      <c r="K201">
        <v>1</v>
      </c>
      <c r="L201">
        <f t="shared" si="14"/>
        <v>2302</v>
      </c>
      <c r="M201">
        <v>1</v>
      </c>
      <c r="N201">
        <f t="shared" si="15"/>
        <v>2302</v>
      </c>
    </row>
    <row r="202" spans="1:14" x14ac:dyDescent="0.25">
      <c r="A202">
        <f>VLOOKUP(B202,Calculations!$A$2:$B$10,2)+VLOOKUP(C202,Calculations!$C$2:$D$7,2)+VLOOKUP(D202,Calculations!$E$2:$F$6,2)+VLOOKUP(E202,Calculations!$G$2:$H$6,2)</f>
        <v>2303</v>
      </c>
      <c r="B202" t="s">
        <v>5</v>
      </c>
      <c r="C202" t="s">
        <v>16</v>
      </c>
      <c r="D202" t="s">
        <v>14</v>
      </c>
      <c r="E202" t="s">
        <v>26</v>
      </c>
      <c r="F202">
        <v>1</v>
      </c>
      <c r="G202">
        <v>0</v>
      </c>
      <c r="H202">
        <f t="shared" si="12"/>
        <v>0</v>
      </c>
      <c r="I202">
        <v>0</v>
      </c>
      <c r="J202">
        <f t="shared" si="13"/>
        <v>0</v>
      </c>
      <c r="K202">
        <v>1</v>
      </c>
      <c r="L202">
        <f t="shared" si="14"/>
        <v>2303</v>
      </c>
      <c r="M202">
        <v>0</v>
      </c>
      <c r="N202">
        <f t="shared" si="15"/>
        <v>0</v>
      </c>
    </row>
    <row r="203" spans="1:14" x14ac:dyDescent="0.25">
      <c r="A203">
        <f>VLOOKUP(B203,Calculations!$A$2:$B$10,2)+VLOOKUP(C203,Calculations!$C$2:$D$7,2)+VLOOKUP(D203,Calculations!$E$2:$F$6,2)+VLOOKUP(E203,Calculations!$G$2:$H$6,2)</f>
        <v>2304</v>
      </c>
      <c r="B203" t="s">
        <v>5</v>
      </c>
      <c r="C203" t="s">
        <v>16</v>
      </c>
      <c r="D203" t="s">
        <v>15</v>
      </c>
      <c r="E203" t="s">
        <v>26</v>
      </c>
      <c r="F203">
        <v>0</v>
      </c>
      <c r="G203">
        <v>0</v>
      </c>
      <c r="H203">
        <f t="shared" si="12"/>
        <v>0</v>
      </c>
      <c r="I203">
        <v>0</v>
      </c>
      <c r="J203">
        <f t="shared" si="13"/>
        <v>0</v>
      </c>
      <c r="K203">
        <v>0</v>
      </c>
      <c r="L203">
        <f t="shared" si="14"/>
        <v>0</v>
      </c>
      <c r="M203">
        <v>0</v>
      </c>
      <c r="N203">
        <f t="shared" si="15"/>
        <v>0</v>
      </c>
    </row>
    <row r="204" spans="1:14" x14ac:dyDescent="0.25">
      <c r="A204">
        <f>VLOOKUP(B204,Calculations!$A$2:$B$10,2)+VLOOKUP(C204,Calculations!$C$2:$D$7,2)+VLOOKUP(D204,Calculations!$E$2:$F$6,2)+VLOOKUP(E204,Calculations!$G$2:$H$6,2)</f>
        <v>2311</v>
      </c>
      <c r="B204" t="s">
        <v>6</v>
      </c>
      <c r="C204" t="s">
        <v>16</v>
      </c>
      <c r="D204" t="s">
        <v>54</v>
      </c>
      <c r="E204" t="s">
        <v>26</v>
      </c>
      <c r="F204">
        <v>1</v>
      </c>
      <c r="G204">
        <v>0</v>
      </c>
      <c r="H204">
        <f t="shared" si="12"/>
        <v>0</v>
      </c>
      <c r="I204">
        <v>0</v>
      </c>
      <c r="J204">
        <f t="shared" si="13"/>
        <v>0</v>
      </c>
      <c r="K204">
        <v>1</v>
      </c>
      <c r="L204">
        <f t="shared" si="14"/>
        <v>2311</v>
      </c>
      <c r="M204">
        <v>1</v>
      </c>
      <c r="N204">
        <f t="shared" si="15"/>
        <v>2311</v>
      </c>
    </row>
    <row r="205" spans="1:14" x14ac:dyDescent="0.25">
      <c r="A205">
        <f>VLOOKUP(B205,Calculations!$A$2:$B$10,2)+VLOOKUP(C205,Calculations!$C$2:$D$7,2)+VLOOKUP(D205,Calculations!$E$2:$F$6,2)+VLOOKUP(E205,Calculations!$G$2:$H$6,2)</f>
        <v>2312</v>
      </c>
      <c r="B205" t="s">
        <v>6</v>
      </c>
      <c r="C205" t="s">
        <v>16</v>
      </c>
      <c r="D205" t="s">
        <v>13</v>
      </c>
      <c r="E205" t="s">
        <v>26</v>
      </c>
      <c r="F205">
        <v>1</v>
      </c>
      <c r="G205">
        <v>0</v>
      </c>
      <c r="H205">
        <f t="shared" si="12"/>
        <v>0</v>
      </c>
      <c r="I205">
        <v>0</v>
      </c>
      <c r="J205">
        <f t="shared" si="13"/>
        <v>0</v>
      </c>
      <c r="K205">
        <v>1</v>
      </c>
      <c r="L205">
        <f t="shared" si="14"/>
        <v>2312</v>
      </c>
      <c r="M205">
        <v>1</v>
      </c>
      <c r="N205">
        <f t="shared" si="15"/>
        <v>2312</v>
      </c>
    </row>
    <row r="206" spans="1:14" x14ac:dyDescent="0.25">
      <c r="A206">
        <f>VLOOKUP(B206,Calculations!$A$2:$B$10,2)+VLOOKUP(C206,Calculations!$C$2:$D$7,2)+VLOOKUP(D206,Calculations!$E$2:$F$6,2)+VLOOKUP(E206,Calculations!$G$2:$H$6,2)</f>
        <v>2313</v>
      </c>
      <c r="B206" t="s">
        <v>6</v>
      </c>
      <c r="C206" t="s">
        <v>16</v>
      </c>
      <c r="D206" t="s">
        <v>14</v>
      </c>
      <c r="E206" t="s">
        <v>26</v>
      </c>
      <c r="F206">
        <v>1</v>
      </c>
      <c r="G206">
        <v>0</v>
      </c>
      <c r="H206">
        <f t="shared" si="12"/>
        <v>0</v>
      </c>
      <c r="I206">
        <v>0</v>
      </c>
      <c r="J206">
        <f t="shared" si="13"/>
        <v>0</v>
      </c>
      <c r="K206">
        <v>1</v>
      </c>
      <c r="L206">
        <f t="shared" si="14"/>
        <v>2313</v>
      </c>
      <c r="M206">
        <v>0</v>
      </c>
      <c r="N206">
        <f t="shared" si="15"/>
        <v>0</v>
      </c>
    </row>
    <row r="207" spans="1:14" x14ac:dyDescent="0.25">
      <c r="A207">
        <f>VLOOKUP(B207,Calculations!$A$2:$B$10,2)+VLOOKUP(C207,Calculations!$C$2:$D$7,2)+VLOOKUP(D207,Calculations!$E$2:$F$6,2)+VLOOKUP(E207,Calculations!$G$2:$H$6,2)</f>
        <v>2314</v>
      </c>
      <c r="B207" t="s">
        <v>6</v>
      </c>
      <c r="C207" t="s">
        <v>16</v>
      </c>
      <c r="D207" t="s">
        <v>15</v>
      </c>
      <c r="E207" t="s">
        <v>26</v>
      </c>
      <c r="F207">
        <v>0</v>
      </c>
      <c r="G207">
        <v>0</v>
      </c>
      <c r="H207">
        <f t="shared" si="12"/>
        <v>0</v>
      </c>
      <c r="I207">
        <v>0</v>
      </c>
      <c r="J207">
        <f t="shared" si="13"/>
        <v>0</v>
      </c>
      <c r="K207">
        <v>0</v>
      </c>
      <c r="L207">
        <f t="shared" si="14"/>
        <v>0</v>
      </c>
      <c r="M207">
        <v>0</v>
      </c>
      <c r="N207">
        <f t="shared" si="15"/>
        <v>0</v>
      </c>
    </row>
    <row r="208" spans="1:14" x14ac:dyDescent="0.25">
      <c r="A208">
        <f>VLOOKUP(B208,Calculations!$A$2:$B$10,2)+VLOOKUP(C208,Calculations!$C$2:$D$7,2)+VLOOKUP(D208,Calculations!$E$2:$F$6,2)+VLOOKUP(E208,Calculations!$G$2:$H$6,2)</f>
        <v>2321</v>
      </c>
      <c r="B208" t="s">
        <v>7</v>
      </c>
      <c r="C208" t="s">
        <v>16</v>
      </c>
      <c r="D208" t="s">
        <v>54</v>
      </c>
      <c r="E208" t="s">
        <v>26</v>
      </c>
      <c r="F208">
        <v>1</v>
      </c>
      <c r="G208">
        <v>0</v>
      </c>
      <c r="H208">
        <f t="shared" si="12"/>
        <v>0</v>
      </c>
      <c r="I208">
        <v>0</v>
      </c>
      <c r="J208">
        <f t="shared" si="13"/>
        <v>0</v>
      </c>
      <c r="K208">
        <v>1</v>
      </c>
      <c r="L208">
        <f t="shared" si="14"/>
        <v>2321</v>
      </c>
      <c r="M208">
        <v>1</v>
      </c>
      <c r="N208">
        <f t="shared" si="15"/>
        <v>2321</v>
      </c>
    </row>
    <row r="209" spans="1:14" x14ac:dyDescent="0.25">
      <c r="A209">
        <f>VLOOKUP(B209,Calculations!$A$2:$B$10,2)+VLOOKUP(C209,Calculations!$C$2:$D$7,2)+VLOOKUP(D209,Calculations!$E$2:$F$6,2)+VLOOKUP(E209,Calculations!$G$2:$H$6,2)</f>
        <v>2322</v>
      </c>
      <c r="B209" t="s">
        <v>7</v>
      </c>
      <c r="C209" t="s">
        <v>16</v>
      </c>
      <c r="D209" t="s">
        <v>13</v>
      </c>
      <c r="E209" t="s">
        <v>26</v>
      </c>
      <c r="F209">
        <v>1</v>
      </c>
      <c r="G209">
        <v>0</v>
      </c>
      <c r="H209">
        <f t="shared" si="12"/>
        <v>0</v>
      </c>
      <c r="I209">
        <v>0</v>
      </c>
      <c r="J209">
        <f t="shared" si="13"/>
        <v>0</v>
      </c>
      <c r="K209">
        <v>1</v>
      </c>
      <c r="L209">
        <f t="shared" si="14"/>
        <v>2322</v>
      </c>
      <c r="M209">
        <v>1</v>
      </c>
      <c r="N209">
        <f t="shared" si="15"/>
        <v>2322</v>
      </c>
    </row>
    <row r="210" spans="1:14" x14ac:dyDescent="0.25">
      <c r="A210">
        <f>VLOOKUP(B210,Calculations!$A$2:$B$10,2)+VLOOKUP(C210,Calculations!$C$2:$D$7,2)+VLOOKUP(D210,Calculations!$E$2:$F$6,2)+VLOOKUP(E210,Calculations!$G$2:$H$6,2)</f>
        <v>2323</v>
      </c>
      <c r="B210" t="s">
        <v>7</v>
      </c>
      <c r="C210" t="s">
        <v>16</v>
      </c>
      <c r="D210" t="s">
        <v>14</v>
      </c>
      <c r="E210" t="s">
        <v>26</v>
      </c>
      <c r="F210">
        <v>1</v>
      </c>
      <c r="G210">
        <v>0</v>
      </c>
      <c r="H210">
        <f t="shared" si="12"/>
        <v>0</v>
      </c>
      <c r="I210">
        <v>0</v>
      </c>
      <c r="J210">
        <f t="shared" si="13"/>
        <v>0</v>
      </c>
      <c r="K210">
        <v>1</v>
      </c>
      <c r="L210">
        <f t="shared" si="14"/>
        <v>2323</v>
      </c>
      <c r="M210">
        <v>0</v>
      </c>
      <c r="N210">
        <f t="shared" si="15"/>
        <v>0</v>
      </c>
    </row>
    <row r="211" spans="1:14" x14ac:dyDescent="0.25">
      <c r="A211">
        <f>VLOOKUP(B211,Calculations!$A$2:$B$10,2)+VLOOKUP(C211,Calculations!$C$2:$D$7,2)+VLOOKUP(D211,Calculations!$E$2:$F$6,2)+VLOOKUP(E211,Calculations!$G$2:$H$6,2)</f>
        <v>2324</v>
      </c>
      <c r="B211" t="s">
        <v>7</v>
      </c>
      <c r="C211" t="s">
        <v>16</v>
      </c>
      <c r="D211" t="s">
        <v>15</v>
      </c>
      <c r="E211" t="s">
        <v>26</v>
      </c>
      <c r="F211">
        <v>1</v>
      </c>
      <c r="G211">
        <v>0</v>
      </c>
      <c r="H211">
        <f t="shared" si="12"/>
        <v>0</v>
      </c>
      <c r="I211">
        <v>0</v>
      </c>
      <c r="J211">
        <f t="shared" si="13"/>
        <v>0</v>
      </c>
      <c r="K211">
        <v>1</v>
      </c>
      <c r="L211">
        <f t="shared" si="14"/>
        <v>2324</v>
      </c>
      <c r="M211">
        <v>0</v>
      </c>
      <c r="N211">
        <f t="shared" si="15"/>
        <v>0</v>
      </c>
    </row>
    <row r="212" spans="1:14" x14ac:dyDescent="0.25">
      <c r="A212">
        <f>VLOOKUP(B212,Calculations!$A$2:$B$10,2)+VLOOKUP(C212,Calculations!$C$2:$D$7,2)+VLOOKUP(D212,Calculations!$E$2:$F$6,2)+VLOOKUP(E212,Calculations!$G$2:$H$6,2)</f>
        <v>2331</v>
      </c>
      <c r="B212" t="s">
        <v>53</v>
      </c>
      <c r="C212" t="s">
        <v>16</v>
      </c>
      <c r="D212" t="s">
        <v>54</v>
      </c>
      <c r="E212" t="s">
        <v>26</v>
      </c>
      <c r="F212">
        <v>0</v>
      </c>
      <c r="G212">
        <v>0</v>
      </c>
      <c r="H212">
        <f t="shared" si="12"/>
        <v>0</v>
      </c>
      <c r="I212">
        <v>0</v>
      </c>
      <c r="J212">
        <f t="shared" si="13"/>
        <v>0</v>
      </c>
      <c r="K212">
        <v>0</v>
      </c>
      <c r="L212">
        <f t="shared" si="14"/>
        <v>0</v>
      </c>
      <c r="M212">
        <v>0</v>
      </c>
      <c r="N212">
        <f t="shared" si="15"/>
        <v>0</v>
      </c>
    </row>
    <row r="213" spans="1:14" x14ac:dyDescent="0.25">
      <c r="A213">
        <f>VLOOKUP(B213,Calculations!$A$2:$B$10,2)+VLOOKUP(C213,Calculations!$C$2:$D$7,2)+VLOOKUP(D213,Calculations!$E$2:$F$6,2)+VLOOKUP(E213,Calculations!$G$2:$H$6,2)</f>
        <v>2332</v>
      </c>
      <c r="B213" t="s">
        <v>53</v>
      </c>
      <c r="C213" t="s">
        <v>16</v>
      </c>
      <c r="D213" t="s">
        <v>13</v>
      </c>
      <c r="E213" t="s">
        <v>26</v>
      </c>
      <c r="F213">
        <v>0</v>
      </c>
      <c r="G213">
        <v>0</v>
      </c>
      <c r="H213">
        <f t="shared" si="12"/>
        <v>0</v>
      </c>
      <c r="I213">
        <v>0</v>
      </c>
      <c r="J213">
        <f t="shared" si="13"/>
        <v>0</v>
      </c>
      <c r="K213">
        <v>0</v>
      </c>
      <c r="L213">
        <f t="shared" si="14"/>
        <v>0</v>
      </c>
      <c r="M213">
        <v>0</v>
      </c>
      <c r="N213">
        <f t="shared" si="15"/>
        <v>0</v>
      </c>
    </row>
    <row r="214" spans="1:14" x14ac:dyDescent="0.25">
      <c r="A214">
        <f>VLOOKUP(B214,Calculations!$A$2:$B$10,2)+VLOOKUP(C214,Calculations!$C$2:$D$7,2)+VLOOKUP(D214,Calculations!$E$2:$F$6,2)+VLOOKUP(E214,Calculations!$G$2:$H$6,2)</f>
        <v>2333</v>
      </c>
      <c r="B214" t="s">
        <v>53</v>
      </c>
      <c r="C214" t="s">
        <v>16</v>
      </c>
      <c r="D214" t="s">
        <v>14</v>
      </c>
      <c r="E214" t="s">
        <v>26</v>
      </c>
      <c r="F214">
        <v>0</v>
      </c>
      <c r="G214">
        <v>0</v>
      </c>
      <c r="H214">
        <f t="shared" si="12"/>
        <v>0</v>
      </c>
      <c r="I214">
        <v>0</v>
      </c>
      <c r="J214">
        <f t="shared" si="13"/>
        <v>0</v>
      </c>
      <c r="K214">
        <v>0</v>
      </c>
      <c r="L214">
        <f t="shared" si="14"/>
        <v>0</v>
      </c>
      <c r="M214">
        <v>0</v>
      </c>
      <c r="N214">
        <f t="shared" si="15"/>
        <v>0</v>
      </c>
    </row>
    <row r="215" spans="1:14" x14ac:dyDescent="0.25">
      <c r="A215">
        <f>VLOOKUP(B215,Calculations!$A$2:$B$10,2)+VLOOKUP(C215,Calculations!$C$2:$D$7,2)+VLOOKUP(D215,Calculations!$E$2:$F$6,2)+VLOOKUP(E215,Calculations!$G$2:$H$6,2)</f>
        <v>2334</v>
      </c>
      <c r="B215" t="s">
        <v>53</v>
      </c>
      <c r="C215" t="s">
        <v>16</v>
      </c>
      <c r="D215" t="s">
        <v>15</v>
      </c>
      <c r="E215" t="s">
        <v>26</v>
      </c>
      <c r="F215">
        <v>0</v>
      </c>
      <c r="G215">
        <v>0</v>
      </c>
      <c r="H215">
        <f t="shared" si="12"/>
        <v>0</v>
      </c>
      <c r="I215">
        <v>0</v>
      </c>
      <c r="J215">
        <f t="shared" si="13"/>
        <v>0</v>
      </c>
      <c r="K215">
        <v>0</v>
      </c>
      <c r="L215">
        <f t="shared" si="14"/>
        <v>0</v>
      </c>
      <c r="M215">
        <v>0</v>
      </c>
      <c r="N215">
        <f t="shared" si="15"/>
        <v>0</v>
      </c>
    </row>
    <row r="216" spans="1:14" x14ac:dyDescent="0.25">
      <c r="A216">
        <f>VLOOKUP(B216,Calculations!$A$2:$B$10,2)+VLOOKUP(C216,Calculations!$C$2:$D$7,2)+VLOOKUP(D216,Calculations!$E$2:$F$6,2)+VLOOKUP(E216,Calculations!$G$2:$H$6,2)</f>
        <v>2341</v>
      </c>
      <c r="B216" t="s">
        <v>9</v>
      </c>
      <c r="C216" t="s">
        <v>16</v>
      </c>
      <c r="D216" t="s">
        <v>54</v>
      </c>
      <c r="E216" t="s">
        <v>26</v>
      </c>
      <c r="F216">
        <v>0</v>
      </c>
      <c r="G216">
        <v>0</v>
      </c>
      <c r="H216">
        <f t="shared" si="12"/>
        <v>0</v>
      </c>
      <c r="I216">
        <v>0</v>
      </c>
      <c r="J216">
        <f t="shared" si="13"/>
        <v>0</v>
      </c>
      <c r="K216">
        <v>0</v>
      </c>
      <c r="L216">
        <f t="shared" si="14"/>
        <v>0</v>
      </c>
      <c r="M216">
        <v>0</v>
      </c>
      <c r="N216">
        <f t="shared" si="15"/>
        <v>0</v>
      </c>
    </row>
    <row r="217" spans="1:14" x14ac:dyDescent="0.25">
      <c r="A217">
        <f>VLOOKUP(B217,Calculations!$A$2:$B$10,2)+VLOOKUP(C217,Calculations!$C$2:$D$7,2)+VLOOKUP(D217,Calculations!$E$2:$F$6,2)+VLOOKUP(E217,Calculations!$G$2:$H$6,2)</f>
        <v>2342</v>
      </c>
      <c r="B217" t="s">
        <v>9</v>
      </c>
      <c r="C217" t="s">
        <v>16</v>
      </c>
      <c r="D217" t="s">
        <v>13</v>
      </c>
      <c r="E217" t="s">
        <v>26</v>
      </c>
      <c r="F217">
        <v>0</v>
      </c>
      <c r="G217">
        <v>0</v>
      </c>
      <c r="H217">
        <f t="shared" si="12"/>
        <v>0</v>
      </c>
      <c r="I217">
        <v>0</v>
      </c>
      <c r="J217">
        <f t="shared" si="13"/>
        <v>0</v>
      </c>
      <c r="K217">
        <v>0</v>
      </c>
      <c r="L217">
        <f t="shared" si="14"/>
        <v>0</v>
      </c>
      <c r="M217">
        <v>0</v>
      </c>
      <c r="N217">
        <f t="shared" si="15"/>
        <v>0</v>
      </c>
    </row>
    <row r="218" spans="1:14" x14ac:dyDescent="0.25">
      <c r="A218">
        <f>VLOOKUP(B218,Calculations!$A$2:$B$10,2)+VLOOKUP(C218,Calculations!$C$2:$D$7,2)+VLOOKUP(D218,Calculations!$E$2:$F$6,2)+VLOOKUP(E218,Calculations!$G$2:$H$6,2)</f>
        <v>2343</v>
      </c>
      <c r="B218" t="s">
        <v>9</v>
      </c>
      <c r="C218" t="s">
        <v>16</v>
      </c>
      <c r="D218" t="s">
        <v>14</v>
      </c>
      <c r="E218" t="s">
        <v>26</v>
      </c>
      <c r="F218">
        <v>0</v>
      </c>
      <c r="G218">
        <v>0</v>
      </c>
      <c r="H218">
        <f t="shared" si="12"/>
        <v>0</v>
      </c>
      <c r="I218">
        <v>0</v>
      </c>
      <c r="J218">
        <f t="shared" si="13"/>
        <v>0</v>
      </c>
      <c r="K218">
        <v>0</v>
      </c>
      <c r="L218">
        <f t="shared" si="14"/>
        <v>0</v>
      </c>
      <c r="M218">
        <v>0</v>
      </c>
      <c r="N218">
        <f t="shared" si="15"/>
        <v>0</v>
      </c>
    </row>
    <row r="219" spans="1:14" x14ac:dyDescent="0.25">
      <c r="A219">
        <f>VLOOKUP(B219,Calculations!$A$2:$B$10,2)+VLOOKUP(C219,Calculations!$C$2:$D$7,2)+VLOOKUP(D219,Calculations!$E$2:$F$6,2)+VLOOKUP(E219,Calculations!$G$2:$H$6,2)</f>
        <v>2344</v>
      </c>
      <c r="B219" t="s">
        <v>9</v>
      </c>
      <c r="C219" t="s">
        <v>16</v>
      </c>
      <c r="D219" t="s">
        <v>15</v>
      </c>
      <c r="E219" t="s">
        <v>26</v>
      </c>
      <c r="F219">
        <v>0</v>
      </c>
      <c r="G219">
        <v>0</v>
      </c>
      <c r="H219">
        <f t="shared" si="12"/>
        <v>0</v>
      </c>
      <c r="I219">
        <v>0</v>
      </c>
      <c r="J219">
        <f t="shared" si="13"/>
        <v>0</v>
      </c>
      <c r="K219">
        <v>0</v>
      </c>
      <c r="L219">
        <f t="shared" si="14"/>
        <v>0</v>
      </c>
      <c r="M219">
        <v>0</v>
      </c>
      <c r="N219">
        <f t="shared" si="15"/>
        <v>0</v>
      </c>
    </row>
    <row r="220" spans="1:14" x14ac:dyDescent="0.25">
      <c r="A220">
        <f>VLOOKUP(B220,Calculations!$A$2:$B$10,2)+VLOOKUP(C220,Calculations!$C$2:$D$7,2)+VLOOKUP(D220,Calculations!$E$2:$F$6,2)+VLOOKUP(E220,Calculations!$G$2:$H$6,2)</f>
        <v>2351</v>
      </c>
      <c r="B220" t="s">
        <v>50</v>
      </c>
      <c r="C220" t="s">
        <v>16</v>
      </c>
      <c r="D220" t="s">
        <v>54</v>
      </c>
      <c r="E220" t="s">
        <v>26</v>
      </c>
      <c r="F220">
        <v>0</v>
      </c>
      <c r="G220">
        <v>0</v>
      </c>
      <c r="H220">
        <f t="shared" si="12"/>
        <v>0</v>
      </c>
      <c r="I220">
        <v>0</v>
      </c>
      <c r="J220">
        <f t="shared" si="13"/>
        <v>0</v>
      </c>
      <c r="K220">
        <v>0</v>
      </c>
      <c r="L220">
        <f t="shared" si="14"/>
        <v>0</v>
      </c>
      <c r="M220">
        <v>0</v>
      </c>
      <c r="N220">
        <f t="shared" si="15"/>
        <v>0</v>
      </c>
    </row>
    <row r="221" spans="1:14" x14ac:dyDescent="0.25">
      <c r="A221">
        <f>VLOOKUP(B221,Calculations!$A$2:$B$10,2)+VLOOKUP(C221,Calculations!$C$2:$D$7,2)+VLOOKUP(D221,Calculations!$E$2:$F$6,2)+VLOOKUP(E221,Calculations!$G$2:$H$6,2)</f>
        <v>2352</v>
      </c>
      <c r="B221" t="s">
        <v>50</v>
      </c>
      <c r="C221" t="s">
        <v>16</v>
      </c>
      <c r="D221" t="s">
        <v>13</v>
      </c>
      <c r="E221" t="s">
        <v>26</v>
      </c>
      <c r="F221">
        <v>0</v>
      </c>
      <c r="G221">
        <v>0</v>
      </c>
      <c r="H221">
        <f t="shared" si="12"/>
        <v>0</v>
      </c>
      <c r="I221">
        <v>0</v>
      </c>
      <c r="J221">
        <f t="shared" si="13"/>
        <v>0</v>
      </c>
      <c r="K221">
        <v>0</v>
      </c>
      <c r="L221">
        <f t="shared" si="14"/>
        <v>0</v>
      </c>
      <c r="M221">
        <v>0</v>
      </c>
      <c r="N221">
        <f t="shared" si="15"/>
        <v>0</v>
      </c>
    </row>
    <row r="222" spans="1:14" x14ac:dyDescent="0.25">
      <c r="A222">
        <f>VLOOKUP(B222,Calculations!$A$2:$B$10,2)+VLOOKUP(C222,Calculations!$C$2:$D$7,2)+VLOOKUP(D222,Calculations!$E$2:$F$6,2)+VLOOKUP(E222,Calculations!$G$2:$H$6,2)</f>
        <v>2353</v>
      </c>
      <c r="B222" t="s">
        <v>50</v>
      </c>
      <c r="C222" t="s">
        <v>16</v>
      </c>
      <c r="D222" t="s">
        <v>14</v>
      </c>
      <c r="E222" t="s">
        <v>26</v>
      </c>
      <c r="F222">
        <v>0</v>
      </c>
      <c r="G222">
        <v>0</v>
      </c>
      <c r="H222">
        <f t="shared" si="12"/>
        <v>0</v>
      </c>
      <c r="I222">
        <v>0</v>
      </c>
      <c r="J222">
        <f t="shared" si="13"/>
        <v>0</v>
      </c>
      <c r="K222">
        <v>0</v>
      </c>
      <c r="L222">
        <f t="shared" si="14"/>
        <v>0</v>
      </c>
      <c r="M222">
        <v>0</v>
      </c>
      <c r="N222">
        <f t="shared" si="15"/>
        <v>0</v>
      </c>
    </row>
    <row r="223" spans="1:14" x14ac:dyDescent="0.25">
      <c r="A223">
        <f>VLOOKUP(B223,Calculations!$A$2:$B$10,2)+VLOOKUP(C223,Calculations!$C$2:$D$7,2)+VLOOKUP(D223,Calculations!$E$2:$F$6,2)+VLOOKUP(E223,Calculations!$G$2:$H$6,2)</f>
        <v>2354</v>
      </c>
      <c r="B223" t="s">
        <v>50</v>
      </c>
      <c r="C223" t="s">
        <v>16</v>
      </c>
      <c r="D223" t="s">
        <v>15</v>
      </c>
      <c r="E223" t="s">
        <v>26</v>
      </c>
      <c r="F223">
        <v>0</v>
      </c>
      <c r="G223">
        <v>0</v>
      </c>
      <c r="H223">
        <f t="shared" si="12"/>
        <v>0</v>
      </c>
      <c r="I223">
        <v>0</v>
      </c>
      <c r="J223">
        <f t="shared" si="13"/>
        <v>0</v>
      </c>
      <c r="K223">
        <v>0</v>
      </c>
      <c r="L223">
        <f t="shared" si="14"/>
        <v>0</v>
      </c>
      <c r="M223">
        <v>0</v>
      </c>
      <c r="N223">
        <f t="shared" si="15"/>
        <v>0</v>
      </c>
    </row>
    <row r="224" spans="1:14" x14ac:dyDescent="0.25">
      <c r="A224">
        <f>VLOOKUP(B224,Calculations!$A$2:$B$10,2)+VLOOKUP(C224,Calculations!$C$2:$D$7,2)+VLOOKUP(D224,Calculations!$E$2:$F$6,2)+VLOOKUP(E224,Calculations!$G$2:$H$6,2)</f>
        <v>2361</v>
      </c>
      <c r="B224" t="s">
        <v>51</v>
      </c>
      <c r="C224" t="s">
        <v>16</v>
      </c>
      <c r="D224" t="s">
        <v>54</v>
      </c>
      <c r="E224" t="s">
        <v>26</v>
      </c>
      <c r="F224">
        <v>1</v>
      </c>
      <c r="G224">
        <v>0</v>
      </c>
      <c r="H224">
        <f t="shared" si="12"/>
        <v>0</v>
      </c>
      <c r="I224">
        <v>0</v>
      </c>
      <c r="J224">
        <f t="shared" si="13"/>
        <v>0</v>
      </c>
      <c r="K224">
        <v>1</v>
      </c>
      <c r="L224">
        <f t="shared" si="14"/>
        <v>2361</v>
      </c>
      <c r="M224">
        <v>1</v>
      </c>
      <c r="N224">
        <f t="shared" si="15"/>
        <v>2361</v>
      </c>
    </row>
    <row r="225" spans="1:14" x14ac:dyDescent="0.25">
      <c r="A225">
        <f>VLOOKUP(B225,Calculations!$A$2:$B$10,2)+VLOOKUP(C225,Calculations!$C$2:$D$7,2)+VLOOKUP(D225,Calculations!$E$2:$F$6,2)+VLOOKUP(E225,Calculations!$G$2:$H$6,2)</f>
        <v>2362</v>
      </c>
      <c r="B225" t="s">
        <v>51</v>
      </c>
      <c r="C225" t="s">
        <v>16</v>
      </c>
      <c r="D225" t="s">
        <v>13</v>
      </c>
      <c r="E225" t="s">
        <v>26</v>
      </c>
      <c r="F225">
        <v>0</v>
      </c>
      <c r="G225">
        <v>0</v>
      </c>
      <c r="H225">
        <f t="shared" si="12"/>
        <v>0</v>
      </c>
      <c r="I225">
        <v>0</v>
      </c>
      <c r="J225">
        <f t="shared" si="13"/>
        <v>0</v>
      </c>
      <c r="K225">
        <v>0</v>
      </c>
      <c r="L225">
        <f t="shared" si="14"/>
        <v>0</v>
      </c>
      <c r="M225">
        <v>0</v>
      </c>
      <c r="N225">
        <f t="shared" si="15"/>
        <v>0</v>
      </c>
    </row>
    <row r="226" spans="1:14" x14ac:dyDescent="0.25">
      <c r="A226">
        <f>VLOOKUP(B226,Calculations!$A$2:$B$10,2)+VLOOKUP(C226,Calculations!$C$2:$D$7,2)+VLOOKUP(D226,Calculations!$E$2:$F$6,2)+VLOOKUP(E226,Calculations!$G$2:$H$6,2)</f>
        <v>2363</v>
      </c>
      <c r="B226" t="s">
        <v>51</v>
      </c>
      <c r="C226" t="s">
        <v>16</v>
      </c>
      <c r="D226" t="s">
        <v>14</v>
      </c>
      <c r="E226" t="s">
        <v>26</v>
      </c>
      <c r="F226">
        <v>0</v>
      </c>
      <c r="G226">
        <v>0</v>
      </c>
      <c r="H226">
        <f t="shared" si="12"/>
        <v>0</v>
      </c>
      <c r="I226">
        <v>0</v>
      </c>
      <c r="J226">
        <f t="shared" si="13"/>
        <v>0</v>
      </c>
      <c r="K226">
        <v>0</v>
      </c>
      <c r="L226">
        <f t="shared" si="14"/>
        <v>0</v>
      </c>
      <c r="M226">
        <v>0</v>
      </c>
      <c r="N226">
        <f t="shared" si="15"/>
        <v>0</v>
      </c>
    </row>
    <row r="227" spans="1:14" x14ac:dyDescent="0.25">
      <c r="A227">
        <f>VLOOKUP(B227,Calculations!$A$2:$B$10,2)+VLOOKUP(C227,Calculations!$C$2:$D$7,2)+VLOOKUP(D227,Calculations!$E$2:$F$6,2)+VLOOKUP(E227,Calculations!$G$2:$H$6,2)</f>
        <v>2364</v>
      </c>
      <c r="B227" t="s">
        <v>51</v>
      </c>
      <c r="C227" t="s">
        <v>16</v>
      </c>
      <c r="D227" t="s">
        <v>15</v>
      </c>
      <c r="E227" t="s">
        <v>26</v>
      </c>
      <c r="F227">
        <v>0</v>
      </c>
      <c r="G227">
        <v>0</v>
      </c>
      <c r="H227">
        <f t="shared" si="12"/>
        <v>0</v>
      </c>
      <c r="I227">
        <v>0</v>
      </c>
      <c r="J227">
        <f t="shared" si="13"/>
        <v>0</v>
      </c>
      <c r="K227">
        <v>0</v>
      </c>
      <c r="L227">
        <f t="shared" si="14"/>
        <v>0</v>
      </c>
      <c r="M227">
        <v>0</v>
      </c>
      <c r="N227">
        <f t="shared" si="15"/>
        <v>0</v>
      </c>
    </row>
    <row r="228" spans="1:14" x14ac:dyDescent="0.25">
      <c r="A228">
        <f>VLOOKUP(B228,Calculations!$A$2:$B$10,2)+VLOOKUP(C228,Calculations!$C$2:$D$7,2)+VLOOKUP(D228,Calculations!$E$2:$F$6,2)+VLOOKUP(E228,Calculations!$G$2:$H$6,2)</f>
        <v>2371</v>
      </c>
      <c r="B228" t="s">
        <v>52</v>
      </c>
      <c r="C228" t="s">
        <v>16</v>
      </c>
      <c r="D228" t="s">
        <v>54</v>
      </c>
      <c r="E228" t="s">
        <v>26</v>
      </c>
      <c r="F228">
        <v>0</v>
      </c>
      <c r="G228">
        <v>0</v>
      </c>
      <c r="H228">
        <f t="shared" si="12"/>
        <v>0</v>
      </c>
      <c r="I228">
        <v>0</v>
      </c>
      <c r="J228">
        <f t="shared" si="13"/>
        <v>0</v>
      </c>
      <c r="K228">
        <v>0</v>
      </c>
      <c r="L228">
        <f t="shared" si="14"/>
        <v>0</v>
      </c>
      <c r="M228">
        <v>0</v>
      </c>
      <c r="N228">
        <f t="shared" si="15"/>
        <v>0</v>
      </c>
    </row>
    <row r="229" spans="1:14" x14ac:dyDescent="0.25">
      <c r="A229">
        <f>VLOOKUP(B229,Calculations!$A$2:$B$10,2)+VLOOKUP(C229,Calculations!$C$2:$D$7,2)+VLOOKUP(D229,Calculations!$E$2:$F$6,2)+VLOOKUP(E229,Calculations!$G$2:$H$6,2)</f>
        <v>2372</v>
      </c>
      <c r="B229" t="s">
        <v>52</v>
      </c>
      <c r="C229" t="s">
        <v>16</v>
      </c>
      <c r="D229" t="s">
        <v>13</v>
      </c>
      <c r="E229" t="s">
        <v>26</v>
      </c>
      <c r="F229">
        <v>0</v>
      </c>
      <c r="G229">
        <v>0</v>
      </c>
      <c r="H229">
        <f t="shared" si="12"/>
        <v>0</v>
      </c>
      <c r="I229">
        <v>0</v>
      </c>
      <c r="J229">
        <f t="shared" si="13"/>
        <v>0</v>
      </c>
      <c r="K229">
        <v>0</v>
      </c>
      <c r="L229">
        <f t="shared" si="14"/>
        <v>0</v>
      </c>
      <c r="M229">
        <v>0</v>
      </c>
      <c r="N229">
        <f t="shared" si="15"/>
        <v>0</v>
      </c>
    </row>
    <row r="230" spans="1:14" x14ac:dyDescent="0.25">
      <c r="A230">
        <f>VLOOKUP(B230,Calculations!$A$2:$B$10,2)+VLOOKUP(C230,Calculations!$C$2:$D$7,2)+VLOOKUP(D230,Calculations!$E$2:$F$6,2)+VLOOKUP(E230,Calculations!$G$2:$H$6,2)</f>
        <v>2373</v>
      </c>
      <c r="B230" t="s">
        <v>52</v>
      </c>
      <c r="C230" t="s">
        <v>16</v>
      </c>
      <c r="D230" t="s">
        <v>14</v>
      </c>
      <c r="E230" t="s">
        <v>26</v>
      </c>
      <c r="F230">
        <v>0</v>
      </c>
      <c r="G230">
        <v>0</v>
      </c>
      <c r="H230">
        <f t="shared" si="12"/>
        <v>0</v>
      </c>
      <c r="I230">
        <v>0</v>
      </c>
      <c r="J230">
        <f t="shared" si="13"/>
        <v>0</v>
      </c>
      <c r="K230">
        <v>0</v>
      </c>
      <c r="L230">
        <f t="shared" si="14"/>
        <v>0</v>
      </c>
      <c r="M230">
        <v>0</v>
      </c>
      <c r="N230">
        <f t="shared" si="15"/>
        <v>0</v>
      </c>
    </row>
    <row r="231" spans="1:14" x14ac:dyDescent="0.25">
      <c r="A231">
        <f>VLOOKUP(B231,Calculations!$A$2:$B$10,2)+VLOOKUP(C231,Calculations!$C$2:$D$7,2)+VLOOKUP(D231,Calculations!$E$2:$F$6,2)+VLOOKUP(E231,Calculations!$G$2:$H$6,2)</f>
        <v>2374</v>
      </c>
      <c r="B231" t="s">
        <v>52</v>
      </c>
      <c r="C231" t="s">
        <v>16</v>
      </c>
      <c r="D231" t="s">
        <v>15</v>
      </c>
      <c r="E231" t="s">
        <v>26</v>
      </c>
      <c r="F231">
        <v>0</v>
      </c>
      <c r="G231">
        <v>0</v>
      </c>
      <c r="H231">
        <f t="shared" si="12"/>
        <v>0</v>
      </c>
      <c r="I231">
        <v>0</v>
      </c>
      <c r="J231">
        <f t="shared" si="13"/>
        <v>0</v>
      </c>
      <c r="K231">
        <v>0</v>
      </c>
      <c r="L231">
        <f t="shared" si="14"/>
        <v>0</v>
      </c>
      <c r="M231">
        <v>0</v>
      </c>
      <c r="N231">
        <f t="shared" si="15"/>
        <v>0</v>
      </c>
    </row>
    <row r="232" spans="1:14" x14ac:dyDescent="0.25">
      <c r="A232">
        <f>VLOOKUP(B232,Calculations!$A$2:$B$10,2)+VLOOKUP(C232,Calculations!$C$2:$D$7,2)+VLOOKUP(D232,Calculations!$E$2:$F$6,2)+VLOOKUP(E232,Calculations!$G$2:$H$6,2)</f>
        <v>2381</v>
      </c>
      <c r="B232" t="s">
        <v>8</v>
      </c>
      <c r="C232" t="s">
        <v>16</v>
      </c>
      <c r="D232" t="s">
        <v>54</v>
      </c>
      <c r="E232" t="s">
        <v>26</v>
      </c>
      <c r="F232">
        <v>0</v>
      </c>
      <c r="G232">
        <v>0</v>
      </c>
      <c r="H232">
        <f t="shared" si="12"/>
        <v>0</v>
      </c>
      <c r="I232">
        <v>0</v>
      </c>
      <c r="J232">
        <f t="shared" si="13"/>
        <v>0</v>
      </c>
      <c r="K232">
        <v>0</v>
      </c>
      <c r="L232">
        <f t="shared" si="14"/>
        <v>0</v>
      </c>
      <c r="M232">
        <v>0</v>
      </c>
      <c r="N232">
        <f t="shared" si="15"/>
        <v>0</v>
      </c>
    </row>
    <row r="233" spans="1:14" x14ac:dyDescent="0.25">
      <c r="A233">
        <f>VLOOKUP(B233,Calculations!$A$2:$B$10,2)+VLOOKUP(C233,Calculations!$C$2:$D$7,2)+VLOOKUP(D233,Calculations!$E$2:$F$6,2)+VLOOKUP(E233,Calculations!$G$2:$H$6,2)</f>
        <v>2382</v>
      </c>
      <c r="B233" t="s">
        <v>8</v>
      </c>
      <c r="C233" t="s">
        <v>16</v>
      </c>
      <c r="D233" t="s">
        <v>13</v>
      </c>
      <c r="E233" t="s">
        <v>26</v>
      </c>
      <c r="F233">
        <v>0</v>
      </c>
      <c r="G233">
        <v>0</v>
      </c>
      <c r="H233">
        <f t="shared" si="12"/>
        <v>0</v>
      </c>
      <c r="I233">
        <v>0</v>
      </c>
      <c r="J233">
        <f t="shared" si="13"/>
        <v>0</v>
      </c>
      <c r="K233">
        <v>0</v>
      </c>
      <c r="L233">
        <f t="shared" si="14"/>
        <v>0</v>
      </c>
      <c r="M233">
        <v>0</v>
      </c>
      <c r="N233">
        <f t="shared" si="15"/>
        <v>0</v>
      </c>
    </row>
    <row r="234" spans="1:14" x14ac:dyDescent="0.25">
      <c r="A234">
        <f>VLOOKUP(B234,Calculations!$A$2:$B$10,2)+VLOOKUP(C234,Calculations!$C$2:$D$7,2)+VLOOKUP(D234,Calculations!$E$2:$F$6,2)+VLOOKUP(E234,Calculations!$G$2:$H$6,2)</f>
        <v>2383</v>
      </c>
      <c r="B234" t="s">
        <v>8</v>
      </c>
      <c r="C234" t="s">
        <v>16</v>
      </c>
      <c r="D234" t="s">
        <v>14</v>
      </c>
      <c r="E234" t="s">
        <v>26</v>
      </c>
      <c r="F234">
        <v>0</v>
      </c>
      <c r="G234">
        <v>0</v>
      </c>
      <c r="H234">
        <f t="shared" si="12"/>
        <v>0</v>
      </c>
      <c r="I234">
        <v>0</v>
      </c>
      <c r="J234">
        <f t="shared" si="13"/>
        <v>0</v>
      </c>
      <c r="K234">
        <v>0</v>
      </c>
      <c r="L234">
        <f t="shared" si="14"/>
        <v>0</v>
      </c>
      <c r="M234">
        <v>0</v>
      </c>
      <c r="N234">
        <f t="shared" si="15"/>
        <v>0</v>
      </c>
    </row>
    <row r="235" spans="1:14" x14ac:dyDescent="0.25">
      <c r="A235">
        <f>VLOOKUP(B235,Calculations!$A$2:$B$10,2)+VLOOKUP(C235,Calculations!$C$2:$D$7,2)+VLOOKUP(D235,Calculations!$E$2:$F$6,2)+VLOOKUP(E235,Calculations!$G$2:$H$6,2)</f>
        <v>2384</v>
      </c>
      <c r="B235" t="s">
        <v>8</v>
      </c>
      <c r="C235" t="s">
        <v>16</v>
      </c>
      <c r="D235" t="s">
        <v>15</v>
      </c>
      <c r="E235" t="s">
        <v>26</v>
      </c>
      <c r="F235">
        <v>0</v>
      </c>
      <c r="G235">
        <v>0</v>
      </c>
      <c r="H235">
        <f t="shared" si="12"/>
        <v>0</v>
      </c>
      <c r="I235">
        <v>0</v>
      </c>
      <c r="J235">
        <f t="shared" si="13"/>
        <v>0</v>
      </c>
      <c r="K235">
        <v>0</v>
      </c>
      <c r="L235">
        <f t="shared" si="14"/>
        <v>0</v>
      </c>
      <c r="M235">
        <v>0</v>
      </c>
      <c r="N235">
        <f t="shared" si="15"/>
        <v>0</v>
      </c>
    </row>
    <row r="236" spans="1:14" x14ac:dyDescent="0.25">
      <c r="A236">
        <f>VLOOKUP(B236,Calculations!$A$2:$B$10,2)+VLOOKUP(C236,Calculations!$C$2:$D$7,2)+VLOOKUP(D236,Calculations!$E$2:$F$6,2)+VLOOKUP(E236,Calculations!$G$2:$H$6,2)</f>
        <v>2401</v>
      </c>
      <c r="B236" t="s">
        <v>5</v>
      </c>
      <c r="C236" t="s">
        <v>16</v>
      </c>
      <c r="D236" t="s">
        <v>54</v>
      </c>
      <c r="E236" t="s">
        <v>27</v>
      </c>
      <c r="F236">
        <v>1</v>
      </c>
      <c r="G236">
        <v>0</v>
      </c>
      <c r="H236">
        <f t="shared" si="12"/>
        <v>0</v>
      </c>
      <c r="I236">
        <v>1</v>
      </c>
      <c r="J236">
        <f t="shared" si="13"/>
        <v>2401</v>
      </c>
      <c r="K236">
        <v>1</v>
      </c>
      <c r="L236">
        <f t="shared" si="14"/>
        <v>2401</v>
      </c>
      <c r="M236">
        <v>1</v>
      </c>
      <c r="N236">
        <f t="shared" si="15"/>
        <v>2401</v>
      </c>
    </row>
    <row r="237" spans="1:14" x14ac:dyDescent="0.25">
      <c r="A237">
        <f>VLOOKUP(B237,Calculations!$A$2:$B$10,2)+VLOOKUP(C237,Calculations!$C$2:$D$7,2)+VLOOKUP(D237,Calculations!$E$2:$F$6,2)+VLOOKUP(E237,Calculations!$G$2:$H$6,2)</f>
        <v>2402</v>
      </c>
      <c r="B237" t="s">
        <v>5</v>
      </c>
      <c r="C237" t="s">
        <v>16</v>
      </c>
      <c r="D237" t="s">
        <v>13</v>
      </c>
      <c r="E237" t="s">
        <v>27</v>
      </c>
      <c r="F237">
        <v>1</v>
      </c>
      <c r="G237">
        <v>0</v>
      </c>
      <c r="H237">
        <f t="shared" si="12"/>
        <v>0</v>
      </c>
      <c r="I237">
        <v>1</v>
      </c>
      <c r="J237">
        <f t="shared" si="13"/>
        <v>2402</v>
      </c>
      <c r="K237">
        <v>1</v>
      </c>
      <c r="L237">
        <f t="shared" si="14"/>
        <v>2402</v>
      </c>
      <c r="M237">
        <v>1</v>
      </c>
      <c r="N237">
        <f t="shared" si="15"/>
        <v>2402</v>
      </c>
    </row>
    <row r="238" spans="1:14" x14ac:dyDescent="0.25">
      <c r="A238">
        <f>VLOOKUP(B238,Calculations!$A$2:$B$10,2)+VLOOKUP(C238,Calculations!$C$2:$D$7,2)+VLOOKUP(D238,Calculations!$E$2:$F$6,2)+VLOOKUP(E238,Calculations!$G$2:$H$6,2)</f>
        <v>2403</v>
      </c>
      <c r="B238" t="s">
        <v>5</v>
      </c>
      <c r="C238" t="s">
        <v>16</v>
      </c>
      <c r="D238" t="s">
        <v>14</v>
      </c>
      <c r="E238" t="s">
        <v>27</v>
      </c>
      <c r="F238">
        <v>1</v>
      </c>
      <c r="G238">
        <v>0</v>
      </c>
      <c r="H238">
        <f t="shared" si="12"/>
        <v>0</v>
      </c>
      <c r="I238">
        <v>1</v>
      </c>
      <c r="J238">
        <f t="shared" si="13"/>
        <v>2403</v>
      </c>
      <c r="K238">
        <v>1</v>
      </c>
      <c r="L238">
        <f t="shared" si="14"/>
        <v>2403</v>
      </c>
      <c r="M238">
        <v>1</v>
      </c>
      <c r="N238">
        <f t="shared" si="15"/>
        <v>2403</v>
      </c>
    </row>
    <row r="239" spans="1:14" x14ac:dyDescent="0.25">
      <c r="A239">
        <f>VLOOKUP(B239,Calculations!$A$2:$B$10,2)+VLOOKUP(C239,Calculations!$C$2:$D$7,2)+VLOOKUP(D239,Calculations!$E$2:$F$6,2)+VLOOKUP(E239,Calculations!$G$2:$H$6,2)</f>
        <v>2404</v>
      </c>
      <c r="B239" t="s">
        <v>5</v>
      </c>
      <c r="C239" t="s">
        <v>16</v>
      </c>
      <c r="D239" t="s">
        <v>15</v>
      </c>
      <c r="E239" t="s">
        <v>27</v>
      </c>
      <c r="F239">
        <v>0</v>
      </c>
      <c r="G239">
        <v>0</v>
      </c>
      <c r="H239">
        <f t="shared" si="12"/>
        <v>0</v>
      </c>
      <c r="I239">
        <v>0</v>
      </c>
      <c r="J239">
        <f t="shared" si="13"/>
        <v>0</v>
      </c>
      <c r="K239">
        <v>0</v>
      </c>
      <c r="L239">
        <f t="shared" si="14"/>
        <v>0</v>
      </c>
      <c r="M239">
        <v>0</v>
      </c>
      <c r="N239">
        <f t="shared" si="15"/>
        <v>0</v>
      </c>
    </row>
    <row r="240" spans="1:14" x14ac:dyDescent="0.25">
      <c r="A240">
        <f>VLOOKUP(B240,Calculations!$A$2:$B$10,2)+VLOOKUP(C240,Calculations!$C$2:$D$7,2)+VLOOKUP(D240,Calculations!$E$2:$F$6,2)+VLOOKUP(E240,Calculations!$G$2:$H$6,2)</f>
        <v>2411</v>
      </c>
      <c r="B240" t="s">
        <v>6</v>
      </c>
      <c r="C240" t="s">
        <v>16</v>
      </c>
      <c r="D240" t="s">
        <v>54</v>
      </c>
      <c r="E240" t="s">
        <v>27</v>
      </c>
      <c r="F240">
        <v>1</v>
      </c>
      <c r="G240">
        <v>0</v>
      </c>
      <c r="H240">
        <f t="shared" si="12"/>
        <v>0</v>
      </c>
      <c r="I240">
        <v>1</v>
      </c>
      <c r="J240">
        <f t="shared" si="13"/>
        <v>2411</v>
      </c>
      <c r="K240">
        <v>1</v>
      </c>
      <c r="L240">
        <f t="shared" si="14"/>
        <v>2411</v>
      </c>
      <c r="M240">
        <v>1</v>
      </c>
      <c r="N240">
        <f t="shared" si="15"/>
        <v>2411</v>
      </c>
    </row>
    <row r="241" spans="1:14" x14ac:dyDescent="0.25">
      <c r="A241">
        <f>VLOOKUP(B241,Calculations!$A$2:$B$10,2)+VLOOKUP(C241,Calculations!$C$2:$D$7,2)+VLOOKUP(D241,Calculations!$E$2:$F$6,2)+VLOOKUP(E241,Calculations!$G$2:$H$6,2)</f>
        <v>2412</v>
      </c>
      <c r="B241" t="s">
        <v>6</v>
      </c>
      <c r="C241" t="s">
        <v>16</v>
      </c>
      <c r="D241" t="s">
        <v>13</v>
      </c>
      <c r="E241" t="s">
        <v>27</v>
      </c>
      <c r="F241">
        <v>1</v>
      </c>
      <c r="G241">
        <v>0</v>
      </c>
      <c r="H241">
        <f t="shared" si="12"/>
        <v>0</v>
      </c>
      <c r="I241">
        <v>1</v>
      </c>
      <c r="J241">
        <f t="shared" si="13"/>
        <v>2412</v>
      </c>
      <c r="K241">
        <v>1</v>
      </c>
      <c r="L241">
        <f t="shared" si="14"/>
        <v>2412</v>
      </c>
      <c r="M241">
        <v>1</v>
      </c>
      <c r="N241">
        <f t="shared" si="15"/>
        <v>2412</v>
      </c>
    </row>
    <row r="242" spans="1:14" x14ac:dyDescent="0.25">
      <c r="A242">
        <f>VLOOKUP(B242,Calculations!$A$2:$B$10,2)+VLOOKUP(C242,Calculations!$C$2:$D$7,2)+VLOOKUP(D242,Calculations!$E$2:$F$6,2)+VLOOKUP(E242,Calculations!$G$2:$H$6,2)</f>
        <v>2413</v>
      </c>
      <c r="B242" t="s">
        <v>6</v>
      </c>
      <c r="C242" t="s">
        <v>16</v>
      </c>
      <c r="D242" t="s">
        <v>14</v>
      </c>
      <c r="E242" t="s">
        <v>27</v>
      </c>
      <c r="F242">
        <v>1</v>
      </c>
      <c r="G242">
        <v>0</v>
      </c>
      <c r="H242">
        <f t="shared" si="12"/>
        <v>0</v>
      </c>
      <c r="I242">
        <v>1</v>
      </c>
      <c r="J242">
        <f t="shared" si="13"/>
        <v>2413</v>
      </c>
      <c r="K242">
        <v>1</v>
      </c>
      <c r="L242">
        <f t="shared" si="14"/>
        <v>2413</v>
      </c>
      <c r="M242">
        <v>1</v>
      </c>
      <c r="N242">
        <f t="shared" si="15"/>
        <v>2413</v>
      </c>
    </row>
    <row r="243" spans="1:14" x14ac:dyDescent="0.25">
      <c r="A243">
        <f>VLOOKUP(B243,Calculations!$A$2:$B$10,2)+VLOOKUP(C243,Calculations!$C$2:$D$7,2)+VLOOKUP(D243,Calculations!$E$2:$F$6,2)+VLOOKUP(E243,Calculations!$G$2:$H$6,2)</f>
        <v>2414</v>
      </c>
      <c r="B243" t="s">
        <v>6</v>
      </c>
      <c r="C243" t="s">
        <v>16</v>
      </c>
      <c r="D243" t="s">
        <v>15</v>
      </c>
      <c r="E243" t="s">
        <v>27</v>
      </c>
      <c r="F243">
        <v>0</v>
      </c>
      <c r="G243">
        <v>0</v>
      </c>
      <c r="H243">
        <f t="shared" si="12"/>
        <v>0</v>
      </c>
      <c r="I243">
        <v>0</v>
      </c>
      <c r="J243">
        <f t="shared" si="13"/>
        <v>0</v>
      </c>
      <c r="K243">
        <v>0</v>
      </c>
      <c r="L243">
        <f t="shared" si="14"/>
        <v>0</v>
      </c>
      <c r="M243">
        <v>0</v>
      </c>
      <c r="N243">
        <f t="shared" si="15"/>
        <v>0</v>
      </c>
    </row>
    <row r="244" spans="1:14" x14ac:dyDescent="0.25">
      <c r="A244">
        <f>VLOOKUP(B244,Calculations!$A$2:$B$10,2)+VLOOKUP(C244,Calculations!$C$2:$D$7,2)+VLOOKUP(D244,Calculations!$E$2:$F$6,2)+VLOOKUP(E244,Calculations!$G$2:$H$6,2)</f>
        <v>2421</v>
      </c>
      <c r="B244" t="s">
        <v>7</v>
      </c>
      <c r="C244" t="s">
        <v>16</v>
      </c>
      <c r="D244" t="s">
        <v>54</v>
      </c>
      <c r="E244" t="s">
        <v>27</v>
      </c>
      <c r="F244">
        <v>1</v>
      </c>
      <c r="G244">
        <v>0</v>
      </c>
      <c r="H244">
        <f t="shared" si="12"/>
        <v>0</v>
      </c>
      <c r="I244">
        <v>1</v>
      </c>
      <c r="J244">
        <f t="shared" si="13"/>
        <v>2421</v>
      </c>
      <c r="K244">
        <v>1</v>
      </c>
      <c r="L244">
        <f t="shared" si="14"/>
        <v>2421</v>
      </c>
      <c r="M244">
        <v>1</v>
      </c>
      <c r="N244">
        <f t="shared" si="15"/>
        <v>2421</v>
      </c>
    </row>
    <row r="245" spans="1:14" x14ac:dyDescent="0.25">
      <c r="A245">
        <f>VLOOKUP(B245,Calculations!$A$2:$B$10,2)+VLOOKUP(C245,Calculations!$C$2:$D$7,2)+VLOOKUP(D245,Calculations!$E$2:$F$6,2)+VLOOKUP(E245,Calculations!$G$2:$H$6,2)</f>
        <v>2422</v>
      </c>
      <c r="B245" t="s">
        <v>7</v>
      </c>
      <c r="C245" t="s">
        <v>16</v>
      </c>
      <c r="D245" t="s">
        <v>13</v>
      </c>
      <c r="E245" t="s">
        <v>27</v>
      </c>
      <c r="F245">
        <v>1</v>
      </c>
      <c r="G245">
        <v>0</v>
      </c>
      <c r="H245">
        <f t="shared" si="12"/>
        <v>0</v>
      </c>
      <c r="I245">
        <v>1</v>
      </c>
      <c r="J245">
        <f t="shared" si="13"/>
        <v>2422</v>
      </c>
      <c r="K245">
        <v>1</v>
      </c>
      <c r="L245">
        <f t="shared" si="14"/>
        <v>2422</v>
      </c>
      <c r="M245">
        <v>1</v>
      </c>
      <c r="N245">
        <f t="shared" si="15"/>
        <v>2422</v>
      </c>
    </row>
    <row r="246" spans="1:14" x14ac:dyDescent="0.25">
      <c r="A246">
        <f>VLOOKUP(B246,Calculations!$A$2:$B$10,2)+VLOOKUP(C246,Calculations!$C$2:$D$7,2)+VLOOKUP(D246,Calculations!$E$2:$F$6,2)+VLOOKUP(E246,Calculations!$G$2:$H$6,2)</f>
        <v>2423</v>
      </c>
      <c r="B246" t="s">
        <v>7</v>
      </c>
      <c r="C246" t="s">
        <v>16</v>
      </c>
      <c r="D246" t="s">
        <v>14</v>
      </c>
      <c r="E246" t="s">
        <v>27</v>
      </c>
      <c r="F246">
        <v>1</v>
      </c>
      <c r="G246">
        <v>0</v>
      </c>
      <c r="H246">
        <f t="shared" si="12"/>
        <v>0</v>
      </c>
      <c r="I246">
        <v>1</v>
      </c>
      <c r="J246">
        <f t="shared" si="13"/>
        <v>2423</v>
      </c>
      <c r="K246">
        <v>1</v>
      </c>
      <c r="L246">
        <f t="shared" si="14"/>
        <v>2423</v>
      </c>
      <c r="M246">
        <v>1</v>
      </c>
      <c r="N246">
        <f t="shared" si="15"/>
        <v>2423</v>
      </c>
    </row>
    <row r="247" spans="1:14" x14ac:dyDescent="0.25">
      <c r="A247">
        <f>VLOOKUP(B247,Calculations!$A$2:$B$10,2)+VLOOKUP(C247,Calculations!$C$2:$D$7,2)+VLOOKUP(D247,Calculations!$E$2:$F$6,2)+VLOOKUP(E247,Calculations!$G$2:$H$6,2)</f>
        <v>2424</v>
      </c>
      <c r="B247" t="s">
        <v>7</v>
      </c>
      <c r="C247" t="s">
        <v>16</v>
      </c>
      <c r="D247" t="s">
        <v>15</v>
      </c>
      <c r="E247" t="s">
        <v>27</v>
      </c>
      <c r="F247">
        <v>1</v>
      </c>
      <c r="G247">
        <v>0</v>
      </c>
      <c r="H247">
        <f t="shared" si="12"/>
        <v>0</v>
      </c>
      <c r="I247">
        <v>1</v>
      </c>
      <c r="J247">
        <f t="shared" si="13"/>
        <v>2424</v>
      </c>
      <c r="K247">
        <v>1</v>
      </c>
      <c r="L247">
        <f t="shared" si="14"/>
        <v>2424</v>
      </c>
      <c r="M247">
        <v>1</v>
      </c>
      <c r="N247">
        <f t="shared" si="15"/>
        <v>2424</v>
      </c>
    </row>
    <row r="248" spans="1:14" x14ac:dyDescent="0.25">
      <c r="A248">
        <f>VLOOKUP(B248,Calculations!$A$2:$B$10,2)+VLOOKUP(C248,Calculations!$C$2:$D$7,2)+VLOOKUP(D248,Calculations!$E$2:$F$6,2)+VLOOKUP(E248,Calculations!$G$2:$H$6,2)</f>
        <v>2431</v>
      </c>
      <c r="B248" t="s">
        <v>53</v>
      </c>
      <c r="C248" t="s">
        <v>16</v>
      </c>
      <c r="D248" t="s">
        <v>54</v>
      </c>
      <c r="E248" t="s">
        <v>27</v>
      </c>
      <c r="F248">
        <v>0</v>
      </c>
      <c r="G248">
        <v>0</v>
      </c>
      <c r="H248">
        <f t="shared" si="12"/>
        <v>0</v>
      </c>
      <c r="I248">
        <v>0</v>
      </c>
      <c r="J248">
        <f t="shared" si="13"/>
        <v>0</v>
      </c>
      <c r="K248">
        <v>0</v>
      </c>
      <c r="L248">
        <f t="shared" si="14"/>
        <v>0</v>
      </c>
      <c r="M248">
        <v>0</v>
      </c>
      <c r="N248">
        <f t="shared" si="15"/>
        <v>0</v>
      </c>
    </row>
    <row r="249" spans="1:14" x14ac:dyDescent="0.25">
      <c r="A249">
        <f>VLOOKUP(B249,Calculations!$A$2:$B$10,2)+VLOOKUP(C249,Calculations!$C$2:$D$7,2)+VLOOKUP(D249,Calculations!$E$2:$F$6,2)+VLOOKUP(E249,Calculations!$G$2:$H$6,2)</f>
        <v>2432</v>
      </c>
      <c r="B249" t="s">
        <v>53</v>
      </c>
      <c r="C249" t="s">
        <v>16</v>
      </c>
      <c r="D249" t="s">
        <v>13</v>
      </c>
      <c r="E249" t="s">
        <v>27</v>
      </c>
      <c r="F249">
        <v>0</v>
      </c>
      <c r="G249">
        <v>0</v>
      </c>
      <c r="H249">
        <f t="shared" si="12"/>
        <v>0</v>
      </c>
      <c r="I249">
        <v>0</v>
      </c>
      <c r="J249">
        <f t="shared" si="13"/>
        <v>0</v>
      </c>
      <c r="K249">
        <v>0</v>
      </c>
      <c r="L249">
        <f t="shared" si="14"/>
        <v>0</v>
      </c>
      <c r="M249">
        <v>0</v>
      </c>
      <c r="N249">
        <f t="shared" si="15"/>
        <v>0</v>
      </c>
    </row>
    <row r="250" spans="1:14" x14ac:dyDescent="0.25">
      <c r="A250">
        <f>VLOOKUP(B250,Calculations!$A$2:$B$10,2)+VLOOKUP(C250,Calculations!$C$2:$D$7,2)+VLOOKUP(D250,Calculations!$E$2:$F$6,2)+VLOOKUP(E250,Calculations!$G$2:$H$6,2)</f>
        <v>2433</v>
      </c>
      <c r="B250" t="s">
        <v>53</v>
      </c>
      <c r="C250" t="s">
        <v>16</v>
      </c>
      <c r="D250" t="s">
        <v>14</v>
      </c>
      <c r="E250" t="s">
        <v>27</v>
      </c>
      <c r="F250">
        <v>0</v>
      </c>
      <c r="G250">
        <v>0</v>
      </c>
      <c r="H250">
        <f t="shared" si="12"/>
        <v>0</v>
      </c>
      <c r="I250">
        <v>0</v>
      </c>
      <c r="J250">
        <f t="shared" si="13"/>
        <v>0</v>
      </c>
      <c r="K250">
        <v>0</v>
      </c>
      <c r="L250">
        <f t="shared" si="14"/>
        <v>0</v>
      </c>
      <c r="M250">
        <v>0</v>
      </c>
      <c r="N250">
        <f t="shared" si="15"/>
        <v>0</v>
      </c>
    </row>
    <row r="251" spans="1:14" x14ac:dyDescent="0.25">
      <c r="A251">
        <f>VLOOKUP(B251,Calculations!$A$2:$B$10,2)+VLOOKUP(C251,Calculations!$C$2:$D$7,2)+VLOOKUP(D251,Calculations!$E$2:$F$6,2)+VLOOKUP(E251,Calculations!$G$2:$H$6,2)</f>
        <v>2434</v>
      </c>
      <c r="B251" t="s">
        <v>53</v>
      </c>
      <c r="C251" t="s">
        <v>16</v>
      </c>
      <c r="D251" t="s">
        <v>15</v>
      </c>
      <c r="E251" t="s">
        <v>27</v>
      </c>
      <c r="F251">
        <v>0</v>
      </c>
      <c r="G251">
        <v>0</v>
      </c>
      <c r="H251">
        <f t="shared" si="12"/>
        <v>0</v>
      </c>
      <c r="I251">
        <v>0</v>
      </c>
      <c r="J251">
        <f t="shared" si="13"/>
        <v>0</v>
      </c>
      <c r="K251">
        <v>0</v>
      </c>
      <c r="L251">
        <f t="shared" si="14"/>
        <v>0</v>
      </c>
      <c r="M251">
        <v>0</v>
      </c>
      <c r="N251">
        <f t="shared" si="15"/>
        <v>0</v>
      </c>
    </row>
    <row r="252" spans="1:14" x14ac:dyDescent="0.25">
      <c r="A252">
        <f>VLOOKUP(B252,Calculations!$A$2:$B$10,2)+VLOOKUP(C252,Calculations!$C$2:$D$7,2)+VLOOKUP(D252,Calculations!$E$2:$F$6,2)+VLOOKUP(E252,Calculations!$G$2:$H$6,2)</f>
        <v>2441</v>
      </c>
      <c r="B252" t="s">
        <v>9</v>
      </c>
      <c r="C252" t="s">
        <v>16</v>
      </c>
      <c r="D252" t="s">
        <v>54</v>
      </c>
      <c r="E252" t="s">
        <v>27</v>
      </c>
      <c r="F252">
        <v>0</v>
      </c>
      <c r="G252">
        <v>0</v>
      </c>
      <c r="H252">
        <f t="shared" si="12"/>
        <v>0</v>
      </c>
      <c r="I252">
        <v>0</v>
      </c>
      <c r="J252">
        <f t="shared" si="13"/>
        <v>0</v>
      </c>
      <c r="K252">
        <v>0</v>
      </c>
      <c r="L252">
        <f t="shared" si="14"/>
        <v>0</v>
      </c>
      <c r="M252">
        <v>0</v>
      </c>
      <c r="N252">
        <f t="shared" si="15"/>
        <v>0</v>
      </c>
    </row>
    <row r="253" spans="1:14" x14ac:dyDescent="0.25">
      <c r="A253">
        <f>VLOOKUP(B253,Calculations!$A$2:$B$10,2)+VLOOKUP(C253,Calculations!$C$2:$D$7,2)+VLOOKUP(D253,Calculations!$E$2:$F$6,2)+VLOOKUP(E253,Calculations!$G$2:$H$6,2)</f>
        <v>2442</v>
      </c>
      <c r="B253" t="s">
        <v>9</v>
      </c>
      <c r="C253" t="s">
        <v>16</v>
      </c>
      <c r="D253" t="s">
        <v>13</v>
      </c>
      <c r="E253" t="s">
        <v>27</v>
      </c>
      <c r="F253">
        <v>0</v>
      </c>
      <c r="G253">
        <v>0</v>
      </c>
      <c r="H253">
        <f t="shared" si="12"/>
        <v>0</v>
      </c>
      <c r="I253">
        <v>0</v>
      </c>
      <c r="J253">
        <f t="shared" si="13"/>
        <v>0</v>
      </c>
      <c r="K253">
        <v>0</v>
      </c>
      <c r="L253">
        <f t="shared" si="14"/>
        <v>0</v>
      </c>
      <c r="M253">
        <v>0</v>
      </c>
      <c r="N253">
        <f t="shared" si="15"/>
        <v>0</v>
      </c>
    </row>
    <row r="254" spans="1:14" x14ac:dyDescent="0.25">
      <c r="A254">
        <f>VLOOKUP(B254,Calculations!$A$2:$B$10,2)+VLOOKUP(C254,Calculations!$C$2:$D$7,2)+VLOOKUP(D254,Calculations!$E$2:$F$6,2)+VLOOKUP(E254,Calculations!$G$2:$H$6,2)</f>
        <v>2443</v>
      </c>
      <c r="B254" t="s">
        <v>9</v>
      </c>
      <c r="C254" t="s">
        <v>16</v>
      </c>
      <c r="D254" t="s">
        <v>14</v>
      </c>
      <c r="E254" t="s">
        <v>27</v>
      </c>
      <c r="F254">
        <v>0</v>
      </c>
      <c r="G254">
        <v>0</v>
      </c>
      <c r="H254">
        <f t="shared" si="12"/>
        <v>0</v>
      </c>
      <c r="I254">
        <v>0</v>
      </c>
      <c r="J254">
        <f t="shared" si="13"/>
        <v>0</v>
      </c>
      <c r="K254">
        <v>0</v>
      </c>
      <c r="L254">
        <f t="shared" si="14"/>
        <v>0</v>
      </c>
      <c r="M254">
        <v>0</v>
      </c>
      <c r="N254">
        <f t="shared" si="15"/>
        <v>0</v>
      </c>
    </row>
    <row r="255" spans="1:14" x14ac:dyDescent="0.25">
      <c r="A255">
        <f>VLOOKUP(B255,Calculations!$A$2:$B$10,2)+VLOOKUP(C255,Calculations!$C$2:$D$7,2)+VLOOKUP(D255,Calculations!$E$2:$F$6,2)+VLOOKUP(E255,Calculations!$G$2:$H$6,2)</f>
        <v>2444</v>
      </c>
      <c r="B255" t="s">
        <v>9</v>
      </c>
      <c r="C255" t="s">
        <v>16</v>
      </c>
      <c r="D255" t="s">
        <v>15</v>
      </c>
      <c r="E255" t="s">
        <v>27</v>
      </c>
      <c r="F255">
        <v>0</v>
      </c>
      <c r="G255">
        <v>0</v>
      </c>
      <c r="H255">
        <f t="shared" si="12"/>
        <v>0</v>
      </c>
      <c r="I255">
        <v>0</v>
      </c>
      <c r="J255">
        <f t="shared" si="13"/>
        <v>0</v>
      </c>
      <c r="K255">
        <v>0</v>
      </c>
      <c r="L255">
        <f t="shared" si="14"/>
        <v>0</v>
      </c>
      <c r="M255">
        <v>0</v>
      </c>
      <c r="N255">
        <f t="shared" si="15"/>
        <v>0</v>
      </c>
    </row>
    <row r="256" spans="1:14" x14ac:dyDescent="0.25">
      <c r="A256">
        <f>VLOOKUP(B256,Calculations!$A$2:$B$10,2)+VLOOKUP(C256,Calculations!$C$2:$D$7,2)+VLOOKUP(D256,Calculations!$E$2:$F$6,2)+VLOOKUP(E256,Calculations!$G$2:$H$6,2)</f>
        <v>2451</v>
      </c>
      <c r="B256" t="s">
        <v>50</v>
      </c>
      <c r="C256" t="s">
        <v>16</v>
      </c>
      <c r="D256" t="s">
        <v>54</v>
      </c>
      <c r="E256" t="s">
        <v>27</v>
      </c>
      <c r="F256">
        <v>0</v>
      </c>
      <c r="G256">
        <v>0</v>
      </c>
      <c r="H256">
        <f t="shared" si="12"/>
        <v>0</v>
      </c>
      <c r="I256">
        <v>0</v>
      </c>
      <c r="J256">
        <f t="shared" si="13"/>
        <v>0</v>
      </c>
      <c r="K256">
        <v>0</v>
      </c>
      <c r="L256">
        <f t="shared" si="14"/>
        <v>0</v>
      </c>
      <c r="M256">
        <v>0</v>
      </c>
      <c r="N256">
        <f t="shared" si="15"/>
        <v>0</v>
      </c>
    </row>
    <row r="257" spans="1:14" x14ac:dyDescent="0.25">
      <c r="A257">
        <f>VLOOKUP(B257,Calculations!$A$2:$B$10,2)+VLOOKUP(C257,Calculations!$C$2:$D$7,2)+VLOOKUP(D257,Calculations!$E$2:$F$6,2)+VLOOKUP(E257,Calculations!$G$2:$H$6,2)</f>
        <v>2452</v>
      </c>
      <c r="B257" t="s">
        <v>50</v>
      </c>
      <c r="C257" t="s">
        <v>16</v>
      </c>
      <c r="D257" t="s">
        <v>13</v>
      </c>
      <c r="E257" t="s">
        <v>27</v>
      </c>
      <c r="F257">
        <v>0</v>
      </c>
      <c r="G257">
        <v>0</v>
      </c>
      <c r="H257">
        <f t="shared" si="12"/>
        <v>0</v>
      </c>
      <c r="I257">
        <v>0</v>
      </c>
      <c r="J257">
        <f t="shared" si="13"/>
        <v>0</v>
      </c>
      <c r="K257">
        <v>0</v>
      </c>
      <c r="L257">
        <f t="shared" si="14"/>
        <v>0</v>
      </c>
      <c r="M257">
        <v>0</v>
      </c>
      <c r="N257">
        <f t="shared" si="15"/>
        <v>0</v>
      </c>
    </row>
    <row r="258" spans="1:14" x14ac:dyDescent="0.25">
      <c r="A258">
        <f>VLOOKUP(B258,Calculations!$A$2:$B$10,2)+VLOOKUP(C258,Calculations!$C$2:$D$7,2)+VLOOKUP(D258,Calculations!$E$2:$F$6,2)+VLOOKUP(E258,Calculations!$G$2:$H$6,2)</f>
        <v>2453</v>
      </c>
      <c r="B258" t="s">
        <v>50</v>
      </c>
      <c r="C258" t="s">
        <v>16</v>
      </c>
      <c r="D258" t="s">
        <v>14</v>
      </c>
      <c r="E258" t="s">
        <v>27</v>
      </c>
      <c r="F258">
        <v>0</v>
      </c>
      <c r="G258">
        <v>0</v>
      </c>
      <c r="H258">
        <f t="shared" ref="H258:H321" si="16">A258*G258</f>
        <v>0</v>
      </c>
      <c r="I258">
        <v>0</v>
      </c>
      <c r="J258">
        <f t="shared" ref="J258:J321" si="17">A258*I258</f>
        <v>0</v>
      </c>
      <c r="K258">
        <v>0</v>
      </c>
      <c r="L258">
        <f t="shared" ref="L258:L321" si="18">K258*A258</f>
        <v>0</v>
      </c>
      <c r="M258">
        <v>0</v>
      </c>
      <c r="N258">
        <f t="shared" ref="N258:N321" si="19">A258*M258</f>
        <v>0</v>
      </c>
    </row>
    <row r="259" spans="1:14" x14ac:dyDescent="0.25">
      <c r="A259">
        <f>VLOOKUP(B259,Calculations!$A$2:$B$10,2)+VLOOKUP(C259,Calculations!$C$2:$D$7,2)+VLOOKUP(D259,Calculations!$E$2:$F$6,2)+VLOOKUP(E259,Calculations!$G$2:$H$6,2)</f>
        <v>2454</v>
      </c>
      <c r="B259" t="s">
        <v>50</v>
      </c>
      <c r="C259" t="s">
        <v>16</v>
      </c>
      <c r="D259" t="s">
        <v>15</v>
      </c>
      <c r="E259" t="s">
        <v>27</v>
      </c>
      <c r="F259">
        <v>0</v>
      </c>
      <c r="G259">
        <v>0</v>
      </c>
      <c r="H259">
        <f t="shared" si="16"/>
        <v>0</v>
      </c>
      <c r="I259">
        <v>0</v>
      </c>
      <c r="J259">
        <f t="shared" si="17"/>
        <v>0</v>
      </c>
      <c r="K259">
        <v>0</v>
      </c>
      <c r="L259">
        <f t="shared" si="18"/>
        <v>0</v>
      </c>
      <c r="M259">
        <v>0</v>
      </c>
      <c r="N259">
        <f t="shared" si="19"/>
        <v>0</v>
      </c>
    </row>
    <row r="260" spans="1:14" x14ac:dyDescent="0.25">
      <c r="A260">
        <f>VLOOKUP(B260,Calculations!$A$2:$B$10,2)+VLOOKUP(C260,Calculations!$C$2:$D$7,2)+VLOOKUP(D260,Calculations!$E$2:$F$6,2)+VLOOKUP(E260,Calculations!$G$2:$H$6,2)</f>
        <v>2461</v>
      </c>
      <c r="B260" t="s">
        <v>51</v>
      </c>
      <c r="C260" t="s">
        <v>16</v>
      </c>
      <c r="D260" t="s">
        <v>54</v>
      </c>
      <c r="E260" t="s">
        <v>27</v>
      </c>
      <c r="F260">
        <v>1</v>
      </c>
      <c r="G260">
        <v>0</v>
      </c>
      <c r="H260">
        <f t="shared" si="16"/>
        <v>0</v>
      </c>
      <c r="I260">
        <v>1</v>
      </c>
      <c r="J260">
        <f t="shared" si="17"/>
        <v>2461</v>
      </c>
      <c r="K260">
        <v>1</v>
      </c>
      <c r="L260">
        <f t="shared" si="18"/>
        <v>2461</v>
      </c>
      <c r="M260">
        <v>1</v>
      </c>
      <c r="N260">
        <f t="shared" si="19"/>
        <v>2461</v>
      </c>
    </row>
    <row r="261" spans="1:14" x14ac:dyDescent="0.25">
      <c r="A261">
        <f>VLOOKUP(B261,Calculations!$A$2:$B$10,2)+VLOOKUP(C261,Calculations!$C$2:$D$7,2)+VLOOKUP(D261,Calculations!$E$2:$F$6,2)+VLOOKUP(E261,Calculations!$G$2:$H$6,2)</f>
        <v>2462</v>
      </c>
      <c r="B261" t="s">
        <v>51</v>
      </c>
      <c r="C261" t="s">
        <v>16</v>
      </c>
      <c r="D261" t="s">
        <v>13</v>
      </c>
      <c r="E261" t="s">
        <v>27</v>
      </c>
      <c r="F261">
        <v>0</v>
      </c>
      <c r="G261">
        <v>0</v>
      </c>
      <c r="H261">
        <f t="shared" si="16"/>
        <v>0</v>
      </c>
      <c r="I261">
        <v>1</v>
      </c>
      <c r="J261">
        <f t="shared" si="17"/>
        <v>2462</v>
      </c>
      <c r="K261">
        <v>0</v>
      </c>
      <c r="L261">
        <f t="shared" si="18"/>
        <v>0</v>
      </c>
      <c r="M261">
        <v>0</v>
      </c>
      <c r="N261">
        <f t="shared" si="19"/>
        <v>0</v>
      </c>
    </row>
    <row r="262" spans="1:14" x14ac:dyDescent="0.25">
      <c r="A262">
        <f>VLOOKUP(B262,Calculations!$A$2:$B$10,2)+VLOOKUP(C262,Calculations!$C$2:$D$7,2)+VLOOKUP(D262,Calculations!$E$2:$F$6,2)+VLOOKUP(E262,Calculations!$G$2:$H$6,2)</f>
        <v>2463</v>
      </c>
      <c r="B262" t="s">
        <v>51</v>
      </c>
      <c r="C262" t="s">
        <v>16</v>
      </c>
      <c r="D262" t="s">
        <v>14</v>
      </c>
      <c r="E262" t="s">
        <v>27</v>
      </c>
      <c r="F262">
        <v>0</v>
      </c>
      <c r="G262">
        <v>0</v>
      </c>
      <c r="H262">
        <f t="shared" si="16"/>
        <v>0</v>
      </c>
      <c r="I262">
        <v>1</v>
      </c>
      <c r="J262">
        <f t="shared" si="17"/>
        <v>2463</v>
      </c>
      <c r="K262">
        <v>0</v>
      </c>
      <c r="L262">
        <f t="shared" si="18"/>
        <v>0</v>
      </c>
      <c r="M262">
        <v>0</v>
      </c>
      <c r="N262">
        <f t="shared" si="19"/>
        <v>0</v>
      </c>
    </row>
    <row r="263" spans="1:14" x14ac:dyDescent="0.25">
      <c r="A263">
        <f>VLOOKUP(B263,Calculations!$A$2:$B$10,2)+VLOOKUP(C263,Calculations!$C$2:$D$7,2)+VLOOKUP(D263,Calculations!$E$2:$F$6,2)+VLOOKUP(E263,Calculations!$G$2:$H$6,2)</f>
        <v>2464</v>
      </c>
      <c r="B263" t="s">
        <v>51</v>
      </c>
      <c r="C263" t="s">
        <v>16</v>
      </c>
      <c r="D263" t="s">
        <v>15</v>
      </c>
      <c r="E263" t="s">
        <v>27</v>
      </c>
      <c r="F263">
        <v>0</v>
      </c>
      <c r="G263">
        <v>0</v>
      </c>
      <c r="H263">
        <f t="shared" si="16"/>
        <v>0</v>
      </c>
      <c r="I263">
        <v>1</v>
      </c>
      <c r="J263">
        <f t="shared" si="17"/>
        <v>2464</v>
      </c>
      <c r="K263">
        <v>0</v>
      </c>
      <c r="L263">
        <f t="shared" si="18"/>
        <v>0</v>
      </c>
      <c r="M263">
        <v>0</v>
      </c>
      <c r="N263">
        <f t="shared" si="19"/>
        <v>0</v>
      </c>
    </row>
    <row r="264" spans="1:14" x14ac:dyDescent="0.25">
      <c r="A264">
        <f>VLOOKUP(B264,Calculations!$A$2:$B$10,2)+VLOOKUP(C264,Calculations!$C$2:$D$7,2)+VLOOKUP(D264,Calculations!$E$2:$F$6,2)+VLOOKUP(E264,Calculations!$G$2:$H$6,2)</f>
        <v>2471</v>
      </c>
      <c r="B264" t="s">
        <v>52</v>
      </c>
      <c r="C264" t="s">
        <v>16</v>
      </c>
      <c r="D264" t="s">
        <v>54</v>
      </c>
      <c r="E264" t="s">
        <v>27</v>
      </c>
      <c r="F264">
        <v>0</v>
      </c>
      <c r="G264">
        <v>0</v>
      </c>
      <c r="H264">
        <f t="shared" si="16"/>
        <v>0</v>
      </c>
      <c r="I264">
        <v>0</v>
      </c>
      <c r="J264">
        <f t="shared" si="17"/>
        <v>0</v>
      </c>
      <c r="K264">
        <v>0</v>
      </c>
      <c r="L264">
        <f t="shared" si="18"/>
        <v>0</v>
      </c>
      <c r="M264">
        <v>0</v>
      </c>
      <c r="N264">
        <f t="shared" si="19"/>
        <v>0</v>
      </c>
    </row>
    <row r="265" spans="1:14" x14ac:dyDescent="0.25">
      <c r="A265">
        <f>VLOOKUP(B265,Calculations!$A$2:$B$10,2)+VLOOKUP(C265,Calculations!$C$2:$D$7,2)+VLOOKUP(D265,Calculations!$E$2:$F$6,2)+VLOOKUP(E265,Calculations!$G$2:$H$6,2)</f>
        <v>2472</v>
      </c>
      <c r="B265" t="s">
        <v>52</v>
      </c>
      <c r="C265" t="s">
        <v>16</v>
      </c>
      <c r="D265" t="s">
        <v>13</v>
      </c>
      <c r="E265" t="s">
        <v>27</v>
      </c>
      <c r="F265">
        <v>0</v>
      </c>
      <c r="G265">
        <v>0</v>
      </c>
      <c r="H265">
        <f t="shared" si="16"/>
        <v>0</v>
      </c>
      <c r="I265">
        <v>0</v>
      </c>
      <c r="J265">
        <f t="shared" si="17"/>
        <v>0</v>
      </c>
      <c r="K265">
        <v>0</v>
      </c>
      <c r="L265">
        <f t="shared" si="18"/>
        <v>0</v>
      </c>
      <c r="M265">
        <v>0</v>
      </c>
      <c r="N265">
        <f t="shared" si="19"/>
        <v>0</v>
      </c>
    </row>
    <row r="266" spans="1:14" x14ac:dyDescent="0.25">
      <c r="A266">
        <f>VLOOKUP(B266,Calculations!$A$2:$B$10,2)+VLOOKUP(C266,Calculations!$C$2:$D$7,2)+VLOOKUP(D266,Calculations!$E$2:$F$6,2)+VLOOKUP(E266,Calculations!$G$2:$H$6,2)</f>
        <v>2473</v>
      </c>
      <c r="B266" t="s">
        <v>52</v>
      </c>
      <c r="C266" t="s">
        <v>16</v>
      </c>
      <c r="D266" t="s">
        <v>14</v>
      </c>
      <c r="E266" t="s">
        <v>27</v>
      </c>
      <c r="F266">
        <v>0</v>
      </c>
      <c r="G266">
        <v>0</v>
      </c>
      <c r="H266">
        <f t="shared" si="16"/>
        <v>0</v>
      </c>
      <c r="I266">
        <v>0</v>
      </c>
      <c r="J266">
        <f t="shared" si="17"/>
        <v>0</v>
      </c>
      <c r="K266">
        <v>0</v>
      </c>
      <c r="L266">
        <f t="shared" si="18"/>
        <v>0</v>
      </c>
      <c r="M266">
        <v>0</v>
      </c>
      <c r="N266">
        <f t="shared" si="19"/>
        <v>0</v>
      </c>
    </row>
    <row r="267" spans="1:14" x14ac:dyDescent="0.25">
      <c r="A267">
        <f>VLOOKUP(B267,Calculations!$A$2:$B$10,2)+VLOOKUP(C267,Calculations!$C$2:$D$7,2)+VLOOKUP(D267,Calculations!$E$2:$F$6,2)+VLOOKUP(E267,Calculations!$G$2:$H$6,2)</f>
        <v>2474</v>
      </c>
      <c r="B267" t="s">
        <v>52</v>
      </c>
      <c r="C267" t="s">
        <v>16</v>
      </c>
      <c r="D267" t="s">
        <v>15</v>
      </c>
      <c r="E267" t="s">
        <v>27</v>
      </c>
      <c r="F267">
        <v>0</v>
      </c>
      <c r="G267">
        <v>0</v>
      </c>
      <c r="H267">
        <f t="shared" si="16"/>
        <v>0</v>
      </c>
      <c r="I267">
        <v>0</v>
      </c>
      <c r="J267">
        <f t="shared" si="17"/>
        <v>0</v>
      </c>
      <c r="K267">
        <v>0</v>
      </c>
      <c r="L267">
        <f t="shared" si="18"/>
        <v>0</v>
      </c>
      <c r="M267">
        <v>0</v>
      </c>
      <c r="N267">
        <f t="shared" si="19"/>
        <v>0</v>
      </c>
    </row>
    <row r="268" spans="1:14" x14ac:dyDescent="0.25">
      <c r="A268">
        <f>VLOOKUP(B268,Calculations!$A$2:$B$10,2)+VLOOKUP(C268,Calculations!$C$2:$D$7,2)+VLOOKUP(D268,Calculations!$E$2:$F$6,2)+VLOOKUP(E268,Calculations!$G$2:$H$6,2)</f>
        <v>2481</v>
      </c>
      <c r="B268" t="s">
        <v>8</v>
      </c>
      <c r="C268" t="s">
        <v>16</v>
      </c>
      <c r="D268" t="s">
        <v>54</v>
      </c>
      <c r="E268" t="s">
        <v>27</v>
      </c>
      <c r="F268">
        <v>0</v>
      </c>
      <c r="G268">
        <v>0</v>
      </c>
      <c r="H268">
        <f t="shared" si="16"/>
        <v>0</v>
      </c>
      <c r="I268">
        <v>0</v>
      </c>
      <c r="J268">
        <f t="shared" si="17"/>
        <v>0</v>
      </c>
      <c r="K268">
        <v>0</v>
      </c>
      <c r="L268">
        <f t="shared" si="18"/>
        <v>0</v>
      </c>
      <c r="M268">
        <v>0</v>
      </c>
      <c r="N268">
        <f t="shared" si="19"/>
        <v>0</v>
      </c>
    </row>
    <row r="269" spans="1:14" x14ac:dyDescent="0.25">
      <c r="A269">
        <f>VLOOKUP(B269,Calculations!$A$2:$B$10,2)+VLOOKUP(C269,Calculations!$C$2:$D$7,2)+VLOOKUP(D269,Calculations!$E$2:$F$6,2)+VLOOKUP(E269,Calculations!$G$2:$H$6,2)</f>
        <v>2482</v>
      </c>
      <c r="B269" t="s">
        <v>8</v>
      </c>
      <c r="C269" t="s">
        <v>16</v>
      </c>
      <c r="D269" t="s">
        <v>13</v>
      </c>
      <c r="E269" t="s">
        <v>27</v>
      </c>
      <c r="F269">
        <v>0</v>
      </c>
      <c r="G269">
        <v>0</v>
      </c>
      <c r="H269">
        <f t="shared" si="16"/>
        <v>0</v>
      </c>
      <c r="I269">
        <v>0</v>
      </c>
      <c r="J269">
        <f t="shared" si="17"/>
        <v>0</v>
      </c>
      <c r="K269">
        <v>0</v>
      </c>
      <c r="L269">
        <f t="shared" si="18"/>
        <v>0</v>
      </c>
      <c r="M269">
        <v>0</v>
      </c>
      <c r="N269">
        <f t="shared" si="19"/>
        <v>0</v>
      </c>
    </row>
    <row r="270" spans="1:14" x14ac:dyDescent="0.25">
      <c r="A270">
        <f>VLOOKUP(B270,Calculations!$A$2:$B$10,2)+VLOOKUP(C270,Calculations!$C$2:$D$7,2)+VLOOKUP(D270,Calculations!$E$2:$F$6,2)+VLOOKUP(E270,Calculations!$G$2:$H$6,2)</f>
        <v>2483</v>
      </c>
      <c r="B270" t="s">
        <v>8</v>
      </c>
      <c r="C270" t="s">
        <v>16</v>
      </c>
      <c r="D270" t="s">
        <v>14</v>
      </c>
      <c r="E270" t="s">
        <v>27</v>
      </c>
      <c r="F270">
        <v>0</v>
      </c>
      <c r="G270">
        <v>0</v>
      </c>
      <c r="H270">
        <f t="shared" si="16"/>
        <v>0</v>
      </c>
      <c r="I270">
        <v>0</v>
      </c>
      <c r="J270">
        <f t="shared" si="17"/>
        <v>0</v>
      </c>
      <c r="K270">
        <v>0</v>
      </c>
      <c r="L270">
        <f t="shared" si="18"/>
        <v>0</v>
      </c>
      <c r="M270">
        <v>0</v>
      </c>
      <c r="N270">
        <f t="shared" si="19"/>
        <v>0</v>
      </c>
    </row>
    <row r="271" spans="1:14" x14ac:dyDescent="0.25">
      <c r="A271">
        <f>VLOOKUP(B271,Calculations!$A$2:$B$10,2)+VLOOKUP(C271,Calculations!$C$2:$D$7,2)+VLOOKUP(D271,Calculations!$E$2:$F$6,2)+VLOOKUP(E271,Calculations!$G$2:$H$6,2)</f>
        <v>2484</v>
      </c>
      <c r="B271" t="s">
        <v>8</v>
      </c>
      <c r="C271" t="s">
        <v>16</v>
      </c>
      <c r="D271" t="s">
        <v>15</v>
      </c>
      <c r="E271" t="s">
        <v>27</v>
      </c>
      <c r="F271">
        <v>0</v>
      </c>
      <c r="G271">
        <v>0</v>
      </c>
      <c r="H271">
        <f t="shared" si="16"/>
        <v>0</v>
      </c>
      <c r="I271">
        <v>0</v>
      </c>
      <c r="J271">
        <f t="shared" si="17"/>
        <v>0</v>
      </c>
      <c r="K271">
        <v>0</v>
      </c>
      <c r="L271">
        <f t="shared" si="18"/>
        <v>0</v>
      </c>
      <c r="M271">
        <v>0</v>
      </c>
      <c r="N271">
        <f t="shared" si="19"/>
        <v>0</v>
      </c>
    </row>
    <row r="272" spans="1:14" x14ac:dyDescent="0.25">
      <c r="A272">
        <f>VLOOKUP(B272,Calculations!$A$2:$B$10,2)+VLOOKUP(C272,Calculations!$C$2:$D$7,2)+VLOOKUP(D272,Calculations!$E$2:$F$6,2)+VLOOKUP(E272,Calculations!$G$2:$H$6,2)</f>
        <v>2501</v>
      </c>
      <c r="B272" t="s">
        <v>5</v>
      </c>
      <c r="C272" t="s">
        <v>16</v>
      </c>
      <c r="D272" t="s">
        <v>54</v>
      </c>
      <c r="E272" t="s">
        <v>28</v>
      </c>
      <c r="F272">
        <v>1</v>
      </c>
      <c r="G272">
        <v>0</v>
      </c>
      <c r="H272">
        <f t="shared" si="16"/>
        <v>0</v>
      </c>
      <c r="I272">
        <v>0</v>
      </c>
      <c r="J272">
        <f t="shared" si="17"/>
        <v>0</v>
      </c>
      <c r="K272">
        <v>1</v>
      </c>
      <c r="L272">
        <f t="shared" si="18"/>
        <v>2501</v>
      </c>
      <c r="M272">
        <v>1</v>
      </c>
      <c r="N272">
        <f t="shared" si="19"/>
        <v>2501</v>
      </c>
    </row>
    <row r="273" spans="1:14" x14ac:dyDescent="0.25">
      <c r="A273">
        <f>VLOOKUP(B273,Calculations!$A$2:$B$10,2)+VLOOKUP(C273,Calculations!$C$2:$D$7,2)+VLOOKUP(D273,Calculations!$E$2:$F$6,2)+VLOOKUP(E273,Calculations!$G$2:$H$6,2)</f>
        <v>2502</v>
      </c>
      <c r="B273" t="s">
        <v>5</v>
      </c>
      <c r="C273" t="s">
        <v>16</v>
      </c>
      <c r="D273" t="s">
        <v>13</v>
      </c>
      <c r="E273" t="s">
        <v>28</v>
      </c>
      <c r="F273">
        <v>1</v>
      </c>
      <c r="G273">
        <v>0</v>
      </c>
      <c r="H273">
        <f t="shared" si="16"/>
        <v>0</v>
      </c>
      <c r="I273">
        <v>0</v>
      </c>
      <c r="J273">
        <f t="shared" si="17"/>
        <v>0</v>
      </c>
      <c r="K273">
        <v>1</v>
      </c>
      <c r="L273">
        <f t="shared" si="18"/>
        <v>2502</v>
      </c>
      <c r="M273">
        <v>1</v>
      </c>
      <c r="N273">
        <f t="shared" si="19"/>
        <v>2502</v>
      </c>
    </row>
    <row r="274" spans="1:14" x14ac:dyDescent="0.25">
      <c r="A274">
        <f>VLOOKUP(B274,Calculations!$A$2:$B$10,2)+VLOOKUP(C274,Calculations!$C$2:$D$7,2)+VLOOKUP(D274,Calculations!$E$2:$F$6,2)+VLOOKUP(E274,Calculations!$G$2:$H$6,2)</f>
        <v>2503</v>
      </c>
      <c r="B274" t="s">
        <v>5</v>
      </c>
      <c r="C274" t="s">
        <v>16</v>
      </c>
      <c r="D274" t="s">
        <v>14</v>
      </c>
      <c r="E274" t="s">
        <v>28</v>
      </c>
      <c r="F274">
        <v>1</v>
      </c>
      <c r="G274">
        <v>0</v>
      </c>
      <c r="H274">
        <f t="shared" si="16"/>
        <v>0</v>
      </c>
      <c r="I274">
        <v>0</v>
      </c>
      <c r="J274">
        <f t="shared" si="17"/>
        <v>0</v>
      </c>
      <c r="K274">
        <v>1</v>
      </c>
      <c r="L274">
        <f t="shared" si="18"/>
        <v>2503</v>
      </c>
      <c r="M274">
        <v>0</v>
      </c>
      <c r="N274">
        <f t="shared" si="19"/>
        <v>0</v>
      </c>
    </row>
    <row r="275" spans="1:14" x14ac:dyDescent="0.25">
      <c r="A275">
        <f>VLOOKUP(B275,Calculations!$A$2:$B$10,2)+VLOOKUP(C275,Calculations!$C$2:$D$7,2)+VLOOKUP(D275,Calculations!$E$2:$F$6,2)+VLOOKUP(E275,Calculations!$G$2:$H$6,2)</f>
        <v>2504</v>
      </c>
      <c r="B275" t="s">
        <v>5</v>
      </c>
      <c r="C275" t="s">
        <v>16</v>
      </c>
      <c r="D275" t="s">
        <v>15</v>
      </c>
      <c r="E275" t="s">
        <v>28</v>
      </c>
      <c r="F275">
        <v>0</v>
      </c>
      <c r="G275">
        <v>0</v>
      </c>
      <c r="H275">
        <f t="shared" si="16"/>
        <v>0</v>
      </c>
      <c r="I275">
        <v>0</v>
      </c>
      <c r="J275">
        <f t="shared" si="17"/>
        <v>0</v>
      </c>
      <c r="K275">
        <v>0</v>
      </c>
      <c r="L275">
        <f t="shared" si="18"/>
        <v>0</v>
      </c>
      <c r="M275">
        <v>0</v>
      </c>
      <c r="N275">
        <f t="shared" si="19"/>
        <v>0</v>
      </c>
    </row>
    <row r="276" spans="1:14" x14ac:dyDescent="0.25">
      <c r="A276">
        <f>VLOOKUP(B276,Calculations!$A$2:$B$10,2)+VLOOKUP(C276,Calculations!$C$2:$D$7,2)+VLOOKUP(D276,Calculations!$E$2:$F$6,2)+VLOOKUP(E276,Calculations!$G$2:$H$6,2)</f>
        <v>2511</v>
      </c>
      <c r="B276" t="s">
        <v>6</v>
      </c>
      <c r="C276" t="s">
        <v>16</v>
      </c>
      <c r="D276" t="s">
        <v>54</v>
      </c>
      <c r="E276" t="s">
        <v>28</v>
      </c>
      <c r="F276">
        <v>1</v>
      </c>
      <c r="G276">
        <v>0</v>
      </c>
      <c r="H276">
        <f t="shared" si="16"/>
        <v>0</v>
      </c>
      <c r="I276">
        <v>0</v>
      </c>
      <c r="J276">
        <f t="shared" si="17"/>
        <v>0</v>
      </c>
      <c r="K276">
        <v>1</v>
      </c>
      <c r="L276">
        <f t="shared" si="18"/>
        <v>2511</v>
      </c>
      <c r="M276">
        <v>1</v>
      </c>
      <c r="N276">
        <f t="shared" si="19"/>
        <v>2511</v>
      </c>
    </row>
    <row r="277" spans="1:14" x14ac:dyDescent="0.25">
      <c r="A277">
        <f>VLOOKUP(B277,Calculations!$A$2:$B$10,2)+VLOOKUP(C277,Calculations!$C$2:$D$7,2)+VLOOKUP(D277,Calculations!$E$2:$F$6,2)+VLOOKUP(E277,Calculations!$G$2:$H$6,2)</f>
        <v>2512</v>
      </c>
      <c r="B277" t="s">
        <v>6</v>
      </c>
      <c r="C277" t="s">
        <v>16</v>
      </c>
      <c r="D277" t="s">
        <v>13</v>
      </c>
      <c r="E277" t="s">
        <v>28</v>
      </c>
      <c r="F277">
        <v>1</v>
      </c>
      <c r="G277">
        <v>0</v>
      </c>
      <c r="H277">
        <f t="shared" si="16"/>
        <v>0</v>
      </c>
      <c r="I277">
        <v>0</v>
      </c>
      <c r="J277">
        <f t="shared" si="17"/>
        <v>0</v>
      </c>
      <c r="K277">
        <v>1</v>
      </c>
      <c r="L277">
        <f t="shared" si="18"/>
        <v>2512</v>
      </c>
      <c r="M277">
        <v>1</v>
      </c>
      <c r="N277">
        <f t="shared" si="19"/>
        <v>2512</v>
      </c>
    </row>
    <row r="278" spans="1:14" x14ac:dyDescent="0.25">
      <c r="A278">
        <f>VLOOKUP(B278,Calculations!$A$2:$B$10,2)+VLOOKUP(C278,Calculations!$C$2:$D$7,2)+VLOOKUP(D278,Calculations!$E$2:$F$6,2)+VLOOKUP(E278,Calculations!$G$2:$H$6,2)</f>
        <v>2513</v>
      </c>
      <c r="B278" t="s">
        <v>6</v>
      </c>
      <c r="C278" t="s">
        <v>16</v>
      </c>
      <c r="D278" t="s">
        <v>14</v>
      </c>
      <c r="E278" t="s">
        <v>28</v>
      </c>
      <c r="F278">
        <v>1</v>
      </c>
      <c r="G278">
        <v>0</v>
      </c>
      <c r="H278">
        <f t="shared" si="16"/>
        <v>0</v>
      </c>
      <c r="I278">
        <v>0</v>
      </c>
      <c r="J278">
        <f t="shared" si="17"/>
        <v>0</v>
      </c>
      <c r="K278">
        <v>1</v>
      </c>
      <c r="L278">
        <f t="shared" si="18"/>
        <v>2513</v>
      </c>
      <c r="M278">
        <v>0</v>
      </c>
      <c r="N278">
        <f t="shared" si="19"/>
        <v>0</v>
      </c>
    </row>
    <row r="279" spans="1:14" x14ac:dyDescent="0.25">
      <c r="A279">
        <f>VLOOKUP(B279,Calculations!$A$2:$B$10,2)+VLOOKUP(C279,Calculations!$C$2:$D$7,2)+VLOOKUP(D279,Calculations!$E$2:$F$6,2)+VLOOKUP(E279,Calculations!$G$2:$H$6,2)</f>
        <v>2514</v>
      </c>
      <c r="B279" t="s">
        <v>6</v>
      </c>
      <c r="C279" t="s">
        <v>16</v>
      </c>
      <c r="D279" t="s">
        <v>15</v>
      </c>
      <c r="E279" t="s">
        <v>28</v>
      </c>
      <c r="F279">
        <v>0</v>
      </c>
      <c r="G279">
        <v>0</v>
      </c>
      <c r="H279">
        <f t="shared" si="16"/>
        <v>0</v>
      </c>
      <c r="I279">
        <v>0</v>
      </c>
      <c r="J279">
        <f t="shared" si="17"/>
        <v>0</v>
      </c>
      <c r="K279">
        <v>0</v>
      </c>
      <c r="L279">
        <f t="shared" si="18"/>
        <v>0</v>
      </c>
      <c r="M279">
        <v>0</v>
      </c>
      <c r="N279">
        <f t="shared" si="19"/>
        <v>0</v>
      </c>
    </row>
    <row r="280" spans="1:14" x14ac:dyDescent="0.25">
      <c r="A280">
        <f>VLOOKUP(B280,Calculations!$A$2:$B$10,2)+VLOOKUP(C280,Calculations!$C$2:$D$7,2)+VLOOKUP(D280,Calculations!$E$2:$F$6,2)+VLOOKUP(E280,Calculations!$G$2:$H$6,2)</f>
        <v>2521</v>
      </c>
      <c r="B280" t="s">
        <v>7</v>
      </c>
      <c r="C280" t="s">
        <v>16</v>
      </c>
      <c r="D280" t="s">
        <v>54</v>
      </c>
      <c r="E280" t="s">
        <v>28</v>
      </c>
      <c r="F280">
        <v>1</v>
      </c>
      <c r="G280">
        <v>0</v>
      </c>
      <c r="H280">
        <f t="shared" si="16"/>
        <v>0</v>
      </c>
      <c r="I280">
        <v>0</v>
      </c>
      <c r="J280">
        <f t="shared" si="17"/>
        <v>0</v>
      </c>
      <c r="K280">
        <v>1</v>
      </c>
      <c r="L280">
        <f t="shared" si="18"/>
        <v>2521</v>
      </c>
      <c r="M280">
        <v>1</v>
      </c>
      <c r="N280">
        <f t="shared" si="19"/>
        <v>2521</v>
      </c>
    </row>
    <row r="281" spans="1:14" x14ac:dyDescent="0.25">
      <c r="A281">
        <f>VLOOKUP(B281,Calculations!$A$2:$B$10,2)+VLOOKUP(C281,Calculations!$C$2:$D$7,2)+VLOOKUP(D281,Calculations!$E$2:$F$6,2)+VLOOKUP(E281,Calculations!$G$2:$H$6,2)</f>
        <v>2522</v>
      </c>
      <c r="B281" t="s">
        <v>7</v>
      </c>
      <c r="C281" t="s">
        <v>16</v>
      </c>
      <c r="D281" t="s">
        <v>13</v>
      </c>
      <c r="E281" t="s">
        <v>28</v>
      </c>
      <c r="F281">
        <v>1</v>
      </c>
      <c r="G281">
        <v>0</v>
      </c>
      <c r="H281">
        <f t="shared" si="16"/>
        <v>0</v>
      </c>
      <c r="I281">
        <v>0</v>
      </c>
      <c r="J281">
        <f t="shared" si="17"/>
        <v>0</v>
      </c>
      <c r="K281">
        <v>1</v>
      </c>
      <c r="L281">
        <f t="shared" si="18"/>
        <v>2522</v>
      </c>
      <c r="M281">
        <v>1</v>
      </c>
      <c r="N281">
        <f t="shared" si="19"/>
        <v>2522</v>
      </c>
    </row>
    <row r="282" spans="1:14" x14ac:dyDescent="0.25">
      <c r="A282">
        <f>VLOOKUP(B282,Calculations!$A$2:$B$10,2)+VLOOKUP(C282,Calculations!$C$2:$D$7,2)+VLOOKUP(D282,Calculations!$E$2:$F$6,2)+VLOOKUP(E282,Calculations!$G$2:$H$6,2)</f>
        <v>2523</v>
      </c>
      <c r="B282" t="s">
        <v>7</v>
      </c>
      <c r="C282" t="s">
        <v>16</v>
      </c>
      <c r="D282" t="s">
        <v>14</v>
      </c>
      <c r="E282" t="s">
        <v>28</v>
      </c>
      <c r="F282">
        <v>1</v>
      </c>
      <c r="G282">
        <v>0</v>
      </c>
      <c r="H282">
        <f t="shared" si="16"/>
        <v>0</v>
      </c>
      <c r="I282">
        <v>0</v>
      </c>
      <c r="J282">
        <f t="shared" si="17"/>
        <v>0</v>
      </c>
      <c r="K282">
        <v>1</v>
      </c>
      <c r="L282">
        <f t="shared" si="18"/>
        <v>2523</v>
      </c>
      <c r="M282">
        <v>0</v>
      </c>
      <c r="N282">
        <f t="shared" si="19"/>
        <v>0</v>
      </c>
    </row>
    <row r="283" spans="1:14" x14ac:dyDescent="0.25">
      <c r="A283">
        <f>VLOOKUP(B283,Calculations!$A$2:$B$10,2)+VLOOKUP(C283,Calculations!$C$2:$D$7,2)+VLOOKUP(D283,Calculations!$E$2:$F$6,2)+VLOOKUP(E283,Calculations!$G$2:$H$6,2)</f>
        <v>2524</v>
      </c>
      <c r="B283" t="s">
        <v>7</v>
      </c>
      <c r="C283" t="s">
        <v>16</v>
      </c>
      <c r="D283" t="s">
        <v>15</v>
      </c>
      <c r="E283" t="s">
        <v>28</v>
      </c>
      <c r="F283">
        <v>1</v>
      </c>
      <c r="G283">
        <v>0</v>
      </c>
      <c r="H283">
        <f t="shared" si="16"/>
        <v>0</v>
      </c>
      <c r="I283">
        <v>0</v>
      </c>
      <c r="J283">
        <f t="shared" si="17"/>
        <v>0</v>
      </c>
      <c r="K283">
        <v>1</v>
      </c>
      <c r="L283">
        <f t="shared" si="18"/>
        <v>2524</v>
      </c>
      <c r="M283">
        <v>0</v>
      </c>
      <c r="N283">
        <f t="shared" si="19"/>
        <v>0</v>
      </c>
    </row>
    <row r="284" spans="1:14" x14ac:dyDescent="0.25">
      <c r="A284">
        <f>VLOOKUP(B284,Calculations!$A$2:$B$10,2)+VLOOKUP(C284,Calculations!$C$2:$D$7,2)+VLOOKUP(D284,Calculations!$E$2:$F$6,2)+VLOOKUP(E284,Calculations!$G$2:$H$6,2)</f>
        <v>2531</v>
      </c>
      <c r="B284" t="s">
        <v>53</v>
      </c>
      <c r="C284" t="s">
        <v>16</v>
      </c>
      <c r="D284" t="s">
        <v>54</v>
      </c>
      <c r="E284" t="s">
        <v>28</v>
      </c>
      <c r="F284">
        <v>0</v>
      </c>
      <c r="G284">
        <v>0</v>
      </c>
      <c r="H284">
        <f t="shared" si="16"/>
        <v>0</v>
      </c>
      <c r="I284">
        <v>0</v>
      </c>
      <c r="J284">
        <f t="shared" si="17"/>
        <v>0</v>
      </c>
      <c r="K284">
        <v>0</v>
      </c>
      <c r="L284">
        <f t="shared" si="18"/>
        <v>0</v>
      </c>
      <c r="M284">
        <v>0</v>
      </c>
      <c r="N284">
        <f t="shared" si="19"/>
        <v>0</v>
      </c>
    </row>
    <row r="285" spans="1:14" x14ac:dyDescent="0.25">
      <c r="A285">
        <f>VLOOKUP(B285,Calculations!$A$2:$B$10,2)+VLOOKUP(C285,Calculations!$C$2:$D$7,2)+VLOOKUP(D285,Calculations!$E$2:$F$6,2)+VLOOKUP(E285,Calculations!$G$2:$H$6,2)</f>
        <v>2532</v>
      </c>
      <c r="B285" t="s">
        <v>53</v>
      </c>
      <c r="C285" t="s">
        <v>16</v>
      </c>
      <c r="D285" t="s">
        <v>13</v>
      </c>
      <c r="E285" t="s">
        <v>28</v>
      </c>
      <c r="F285">
        <v>0</v>
      </c>
      <c r="G285">
        <v>0</v>
      </c>
      <c r="H285">
        <f t="shared" si="16"/>
        <v>0</v>
      </c>
      <c r="I285">
        <v>0</v>
      </c>
      <c r="J285">
        <f t="shared" si="17"/>
        <v>0</v>
      </c>
      <c r="K285">
        <v>0</v>
      </c>
      <c r="L285">
        <f t="shared" si="18"/>
        <v>0</v>
      </c>
      <c r="M285">
        <v>0</v>
      </c>
      <c r="N285">
        <f t="shared" si="19"/>
        <v>0</v>
      </c>
    </row>
    <row r="286" spans="1:14" x14ac:dyDescent="0.25">
      <c r="A286">
        <f>VLOOKUP(B286,Calculations!$A$2:$B$10,2)+VLOOKUP(C286,Calculations!$C$2:$D$7,2)+VLOOKUP(D286,Calculations!$E$2:$F$6,2)+VLOOKUP(E286,Calculations!$G$2:$H$6,2)</f>
        <v>2533</v>
      </c>
      <c r="B286" t="s">
        <v>53</v>
      </c>
      <c r="C286" t="s">
        <v>16</v>
      </c>
      <c r="D286" t="s">
        <v>14</v>
      </c>
      <c r="E286" t="s">
        <v>28</v>
      </c>
      <c r="F286">
        <v>0</v>
      </c>
      <c r="G286">
        <v>0</v>
      </c>
      <c r="H286">
        <f t="shared" si="16"/>
        <v>0</v>
      </c>
      <c r="I286">
        <v>0</v>
      </c>
      <c r="J286">
        <f t="shared" si="17"/>
        <v>0</v>
      </c>
      <c r="K286">
        <v>0</v>
      </c>
      <c r="L286">
        <f t="shared" si="18"/>
        <v>0</v>
      </c>
      <c r="M286">
        <v>0</v>
      </c>
      <c r="N286">
        <f t="shared" si="19"/>
        <v>0</v>
      </c>
    </row>
    <row r="287" spans="1:14" x14ac:dyDescent="0.25">
      <c r="A287">
        <f>VLOOKUP(B287,Calculations!$A$2:$B$10,2)+VLOOKUP(C287,Calculations!$C$2:$D$7,2)+VLOOKUP(D287,Calculations!$E$2:$F$6,2)+VLOOKUP(E287,Calculations!$G$2:$H$6,2)</f>
        <v>2534</v>
      </c>
      <c r="B287" t="s">
        <v>53</v>
      </c>
      <c r="C287" t="s">
        <v>16</v>
      </c>
      <c r="D287" t="s">
        <v>15</v>
      </c>
      <c r="E287" t="s">
        <v>28</v>
      </c>
      <c r="F287">
        <v>0</v>
      </c>
      <c r="G287">
        <v>0</v>
      </c>
      <c r="H287">
        <f t="shared" si="16"/>
        <v>0</v>
      </c>
      <c r="I287">
        <v>0</v>
      </c>
      <c r="J287">
        <f t="shared" si="17"/>
        <v>0</v>
      </c>
      <c r="K287">
        <v>0</v>
      </c>
      <c r="L287">
        <f t="shared" si="18"/>
        <v>0</v>
      </c>
      <c r="M287">
        <v>0</v>
      </c>
      <c r="N287">
        <f t="shared" si="19"/>
        <v>0</v>
      </c>
    </row>
    <row r="288" spans="1:14" x14ac:dyDescent="0.25">
      <c r="A288">
        <f>VLOOKUP(B288,Calculations!$A$2:$B$10,2)+VLOOKUP(C288,Calculations!$C$2:$D$7,2)+VLOOKUP(D288,Calculations!$E$2:$F$6,2)+VLOOKUP(E288,Calculations!$G$2:$H$6,2)</f>
        <v>2541</v>
      </c>
      <c r="B288" t="s">
        <v>9</v>
      </c>
      <c r="C288" t="s">
        <v>16</v>
      </c>
      <c r="D288" t="s">
        <v>54</v>
      </c>
      <c r="E288" t="s">
        <v>28</v>
      </c>
      <c r="F288">
        <v>0</v>
      </c>
      <c r="G288">
        <v>0</v>
      </c>
      <c r="H288">
        <f t="shared" si="16"/>
        <v>0</v>
      </c>
      <c r="I288">
        <v>0</v>
      </c>
      <c r="J288">
        <f t="shared" si="17"/>
        <v>0</v>
      </c>
      <c r="K288">
        <v>0</v>
      </c>
      <c r="L288">
        <f t="shared" si="18"/>
        <v>0</v>
      </c>
      <c r="M288">
        <v>0</v>
      </c>
      <c r="N288">
        <f t="shared" si="19"/>
        <v>0</v>
      </c>
    </row>
    <row r="289" spans="1:14" x14ac:dyDescent="0.25">
      <c r="A289">
        <f>VLOOKUP(B289,Calculations!$A$2:$B$10,2)+VLOOKUP(C289,Calculations!$C$2:$D$7,2)+VLOOKUP(D289,Calculations!$E$2:$F$6,2)+VLOOKUP(E289,Calculations!$G$2:$H$6,2)</f>
        <v>2542</v>
      </c>
      <c r="B289" t="s">
        <v>9</v>
      </c>
      <c r="C289" t="s">
        <v>16</v>
      </c>
      <c r="D289" t="s">
        <v>13</v>
      </c>
      <c r="E289" t="s">
        <v>28</v>
      </c>
      <c r="F289">
        <v>0</v>
      </c>
      <c r="G289">
        <v>0</v>
      </c>
      <c r="H289">
        <f t="shared" si="16"/>
        <v>0</v>
      </c>
      <c r="I289">
        <v>0</v>
      </c>
      <c r="J289">
        <f t="shared" si="17"/>
        <v>0</v>
      </c>
      <c r="K289">
        <v>0</v>
      </c>
      <c r="L289">
        <f t="shared" si="18"/>
        <v>0</v>
      </c>
      <c r="M289">
        <v>0</v>
      </c>
      <c r="N289">
        <f t="shared" si="19"/>
        <v>0</v>
      </c>
    </row>
    <row r="290" spans="1:14" x14ac:dyDescent="0.25">
      <c r="A290">
        <f>VLOOKUP(B290,Calculations!$A$2:$B$10,2)+VLOOKUP(C290,Calculations!$C$2:$D$7,2)+VLOOKUP(D290,Calculations!$E$2:$F$6,2)+VLOOKUP(E290,Calculations!$G$2:$H$6,2)</f>
        <v>2543</v>
      </c>
      <c r="B290" t="s">
        <v>9</v>
      </c>
      <c r="C290" t="s">
        <v>16</v>
      </c>
      <c r="D290" t="s">
        <v>14</v>
      </c>
      <c r="E290" t="s">
        <v>28</v>
      </c>
      <c r="F290">
        <v>0</v>
      </c>
      <c r="G290">
        <v>0</v>
      </c>
      <c r="H290">
        <f t="shared" si="16"/>
        <v>0</v>
      </c>
      <c r="I290">
        <v>0</v>
      </c>
      <c r="J290">
        <f t="shared" si="17"/>
        <v>0</v>
      </c>
      <c r="K290">
        <v>0</v>
      </c>
      <c r="L290">
        <f t="shared" si="18"/>
        <v>0</v>
      </c>
      <c r="M290">
        <v>0</v>
      </c>
      <c r="N290">
        <f t="shared" si="19"/>
        <v>0</v>
      </c>
    </row>
    <row r="291" spans="1:14" x14ac:dyDescent="0.25">
      <c r="A291">
        <f>VLOOKUP(B291,Calculations!$A$2:$B$10,2)+VLOOKUP(C291,Calculations!$C$2:$D$7,2)+VLOOKUP(D291,Calculations!$E$2:$F$6,2)+VLOOKUP(E291,Calculations!$G$2:$H$6,2)</f>
        <v>2544</v>
      </c>
      <c r="B291" t="s">
        <v>9</v>
      </c>
      <c r="C291" t="s">
        <v>16</v>
      </c>
      <c r="D291" t="s">
        <v>15</v>
      </c>
      <c r="E291" t="s">
        <v>28</v>
      </c>
      <c r="F291">
        <v>0</v>
      </c>
      <c r="G291">
        <v>0</v>
      </c>
      <c r="H291">
        <f t="shared" si="16"/>
        <v>0</v>
      </c>
      <c r="I291">
        <v>0</v>
      </c>
      <c r="J291">
        <f t="shared" si="17"/>
        <v>0</v>
      </c>
      <c r="K291">
        <v>0</v>
      </c>
      <c r="L291">
        <f t="shared" si="18"/>
        <v>0</v>
      </c>
      <c r="M291">
        <v>0</v>
      </c>
      <c r="N291">
        <f t="shared" si="19"/>
        <v>0</v>
      </c>
    </row>
    <row r="292" spans="1:14" x14ac:dyDescent="0.25">
      <c r="A292">
        <f>VLOOKUP(B292,Calculations!$A$2:$B$10,2)+VLOOKUP(C292,Calculations!$C$2:$D$7,2)+VLOOKUP(D292,Calculations!$E$2:$F$6,2)+VLOOKUP(E292,Calculations!$G$2:$H$6,2)</f>
        <v>2551</v>
      </c>
      <c r="B292" t="s">
        <v>50</v>
      </c>
      <c r="C292" t="s">
        <v>16</v>
      </c>
      <c r="D292" t="s">
        <v>54</v>
      </c>
      <c r="E292" t="s">
        <v>28</v>
      </c>
      <c r="F292">
        <v>0</v>
      </c>
      <c r="G292">
        <v>0</v>
      </c>
      <c r="H292">
        <f t="shared" si="16"/>
        <v>0</v>
      </c>
      <c r="I292">
        <v>0</v>
      </c>
      <c r="J292">
        <f t="shared" si="17"/>
        <v>0</v>
      </c>
      <c r="K292">
        <v>0</v>
      </c>
      <c r="L292">
        <f t="shared" si="18"/>
        <v>0</v>
      </c>
      <c r="M292">
        <v>0</v>
      </c>
      <c r="N292">
        <f t="shared" si="19"/>
        <v>0</v>
      </c>
    </row>
    <row r="293" spans="1:14" x14ac:dyDescent="0.25">
      <c r="A293">
        <f>VLOOKUP(B293,Calculations!$A$2:$B$10,2)+VLOOKUP(C293,Calculations!$C$2:$D$7,2)+VLOOKUP(D293,Calculations!$E$2:$F$6,2)+VLOOKUP(E293,Calculations!$G$2:$H$6,2)</f>
        <v>2552</v>
      </c>
      <c r="B293" t="s">
        <v>50</v>
      </c>
      <c r="C293" t="s">
        <v>16</v>
      </c>
      <c r="D293" t="s">
        <v>13</v>
      </c>
      <c r="E293" t="s">
        <v>28</v>
      </c>
      <c r="F293">
        <v>0</v>
      </c>
      <c r="G293">
        <v>0</v>
      </c>
      <c r="H293">
        <f t="shared" si="16"/>
        <v>0</v>
      </c>
      <c r="I293">
        <v>0</v>
      </c>
      <c r="J293">
        <f t="shared" si="17"/>
        <v>0</v>
      </c>
      <c r="K293">
        <v>0</v>
      </c>
      <c r="L293">
        <f t="shared" si="18"/>
        <v>0</v>
      </c>
      <c r="M293">
        <v>0</v>
      </c>
      <c r="N293">
        <f t="shared" si="19"/>
        <v>0</v>
      </c>
    </row>
    <row r="294" spans="1:14" x14ac:dyDescent="0.25">
      <c r="A294">
        <f>VLOOKUP(B294,Calculations!$A$2:$B$10,2)+VLOOKUP(C294,Calculations!$C$2:$D$7,2)+VLOOKUP(D294,Calculations!$E$2:$F$6,2)+VLOOKUP(E294,Calculations!$G$2:$H$6,2)</f>
        <v>2553</v>
      </c>
      <c r="B294" t="s">
        <v>50</v>
      </c>
      <c r="C294" t="s">
        <v>16</v>
      </c>
      <c r="D294" t="s">
        <v>14</v>
      </c>
      <c r="E294" t="s">
        <v>28</v>
      </c>
      <c r="F294">
        <v>0</v>
      </c>
      <c r="G294">
        <v>0</v>
      </c>
      <c r="H294">
        <f t="shared" si="16"/>
        <v>0</v>
      </c>
      <c r="I294">
        <v>0</v>
      </c>
      <c r="J294">
        <f t="shared" si="17"/>
        <v>0</v>
      </c>
      <c r="K294">
        <v>0</v>
      </c>
      <c r="L294">
        <f t="shared" si="18"/>
        <v>0</v>
      </c>
      <c r="M294">
        <v>0</v>
      </c>
      <c r="N294">
        <f t="shared" si="19"/>
        <v>0</v>
      </c>
    </row>
    <row r="295" spans="1:14" x14ac:dyDescent="0.25">
      <c r="A295">
        <f>VLOOKUP(B295,Calculations!$A$2:$B$10,2)+VLOOKUP(C295,Calculations!$C$2:$D$7,2)+VLOOKUP(D295,Calculations!$E$2:$F$6,2)+VLOOKUP(E295,Calculations!$G$2:$H$6,2)</f>
        <v>2554</v>
      </c>
      <c r="B295" t="s">
        <v>50</v>
      </c>
      <c r="C295" t="s">
        <v>16</v>
      </c>
      <c r="D295" t="s">
        <v>15</v>
      </c>
      <c r="E295" t="s">
        <v>28</v>
      </c>
      <c r="F295">
        <v>0</v>
      </c>
      <c r="G295">
        <v>0</v>
      </c>
      <c r="H295">
        <f t="shared" si="16"/>
        <v>0</v>
      </c>
      <c r="I295">
        <v>0</v>
      </c>
      <c r="J295">
        <f t="shared" si="17"/>
        <v>0</v>
      </c>
      <c r="K295">
        <v>0</v>
      </c>
      <c r="L295">
        <f t="shared" si="18"/>
        <v>0</v>
      </c>
      <c r="M295">
        <v>0</v>
      </c>
      <c r="N295">
        <f t="shared" si="19"/>
        <v>0</v>
      </c>
    </row>
    <row r="296" spans="1:14" x14ac:dyDescent="0.25">
      <c r="A296">
        <f>VLOOKUP(B296,Calculations!$A$2:$B$10,2)+VLOOKUP(C296,Calculations!$C$2:$D$7,2)+VLOOKUP(D296,Calculations!$E$2:$F$6,2)+VLOOKUP(E296,Calculations!$G$2:$H$6,2)</f>
        <v>2561</v>
      </c>
      <c r="B296" t="s">
        <v>51</v>
      </c>
      <c r="C296" t="s">
        <v>16</v>
      </c>
      <c r="D296" t="s">
        <v>54</v>
      </c>
      <c r="E296" t="s">
        <v>28</v>
      </c>
      <c r="F296">
        <v>1</v>
      </c>
      <c r="G296">
        <v>0</v>
      </c>
      <c r="H296">
        <f t="shared" si="16"/>
        <v>0</v>
      </c>
      <c r="I296">
        <v>0</v>
      </c>
      <c r="J296">
        <f t="shared" si="17"/>
        <v>0</v>
      </c>
      <c r="K296">
        <v>1</v>
      </c>
      <c r="L296">
        <f t="shared" si="18"/>
        <v>2561</v>
      </c>
      <c r="M296">
        <v>1</v>
      </c>
      <c r="N296">
        <f t="shared" si="19"/>
        <v>2561</v>
      </c>
    </row>
    <row r="297" spans="1:14" x14ac:dyDescent="0.25">
      <c r="A297">
        <f>VLOOKUP(B297,Calculations!$A$2:$B$10,2)+VLOOKUP(C297,Calculations!$C$2:$D$7,2)+VLOOKUP(D297,Calculations!$E$2:$F$6,2)+VLOOKUP(E297,Calculations!$G$2:$H$6,2)</f>
        <v>2562</v>
      </c>
      <c r="B297" t="s">
        <v>51</v>
      </c>
      <c r="C297" t="s">
        <v>16</v>
      </c>
      <c r="D297" t="s">
        <v>13</v>
      </c>
      <c r="E297" t="s">
        <v>28</v>
      </c>
      <c r="F297">
        <v>0</v>
      </c>
      <c r="G297">
        <v>0</v>
      </c>
      <c r="H297">
        <f t="shared" si="16"/>
        <v>0</v>
      </c>
      <c r="I297">
        <v>0</v>
      </c>
      <c r="J297">
        <f t="shared" si="17"/>
        <v>0</v>
      </c>
      <c r="K297">
        <v>0</v>
      </c>
      <c r="L297">
        <f t="shared" si="18"/>
        <v>0</v>
      </c>
      <c r="M297">
        <v>0</v>
      </c>
      <c r="N297">
        <f t="shared" si="19"/>
        <v>0</v>
      </c>
    </row>
    <row r="298" spans="1:14" x14ac:dyDescent="0.25">
      <c r="A298">
        <f>VLOOKUP(B298,Calculations!$A$2:$B$10,2)+VLOOKUP(C298,Calculations!$C$2:$D$7,2)+VLOOKUP(D298,Calculations!$E$2:$F$6,2)+VLOOKUP(E298,Calculations!$G$2:$H$6,2)</f>
        <v>2563</v>
      </c>
      <c r="B298" t="s">
        <v>51</v>
      </c>
      <c r="C298" t="s">
        <v>16</v>
      </c>
      <c r="D298" t="s">
        <v>14</v>
      </c>
      <c r="E298" t="s">
        <v>28</v>
      </c>
      <c r="F298">
        <v>0</v>
      </c>
      <c r="G298">
        <v>0</v>
      </c>
      <c r="H298">
        <f t="shared" si="16"/>
        <v>0</v>
      </c>
      <c r="I298">
        <v>0</v>
      </c>
      <c r="J298">
        <f t="shared" si="17"/>
        <v>0</v>
      </c>
      <c r="K298">
        <v>0</v>
      </c>
      <c r="L298">
        <f t="shared" si="18"/>
        <v>0</v>
      </c>
      <c r="M298">
        <v>0</v>
      </c>
      <c r="N298">
        <f t="shared" si="19"/>
        <v>0</v>
      </c>
    </row>
    <row r="299" spans="1:14" x14ac:dyDescent="0.25">
      <c r="A299">
        <f>VLOOKUP(B299,Calculations!$A$2:$B$10,2)+VLOOKUP(C299,Calculations!$C$2:$D$7,2)+VLOOKUP(D299,Calculations!$E$2:$F$6,2)+VLOOKUP(E299,Calculations!$G$2:$H$6,2)</f>
        <v>2564</v>
      </c>
      <c r="B299" t="s">
        <v>51</v>
      </c>
      <c r="C299" t="s">
        <v>16</v>
      </c>
      <c r="D299" t="s">
        <v>15</v>
      </c>
      <c r="E299" t="s">
        <v>28</v>
      </c>
      <c r="F299">
        <v>0</v>
      </c>
      <c r="G299">
        <v>0</v>
      </c>
      <c r="H299">
        <f t="shared" si="16"/>
        <v>0</v>
      </c>
      <c r="I299">
        <v>0</v>
      </c>
      <c r="J299">
        <f t="shared" si="17"/>
        <v>0</v>
      </c>
      <c r="K299">
        <v>0</v>
      </c>
      <c r="L299">
        <f t="shared" si="18"/>
        <v>0</v>
      </c>
      <c r="M299">
        <v>0</v>
      </c>
      <c r="N299">
        <f t="shared" si="19"/>
        <v>0</v>
      </c>
    </row>
    <row r="300" spans="1:14" x14ac:dyDescent="0.25">
      <c r="A300">
        <f>VLOOKUP(B300,Calculations!$A$2:$B$10,2)+VLOOKUP(C300,Calculations!$C$2:$D$7,2)+VLOOKUP(D300,Calculations!$E$2:$F$6,2)+VLOOKUP(E300,Calculations!$G$2:$H$6,2)</f>
        <v>2571</v>
      </c>
      <c r="B300" t="s">
        <v>52</v>
      </c>
      <c r="C300" t="s">
        <v>16</v>
      </c>
      <c r="D300" t="s">
        <v>54</v>
      </c>
      <c r="E300" t="s">
        <v>28</v>
      </c>
      <c r="F300">
        <v>0</v>
      </c>
      <c r="G300">
        <v>0</v>
      </c>
      <c r="H300">
        <f t="shared" si="16"/>
        <v>0</v>
      </c>
      <c r="I300">
        <v>0</v>
      </c>
      <c r="J300">
        <f t="shared" si="17"/>
        <v>0</v>
      </c>
      <c r="K300">
        <v>0</v>
      </c>
      <c r="L300">
        <f t="shared" si="18"/>
        <v>0</v>
      </c>
      <c r="M300">
        <v>0</v>
      </c>
      <c r="N300">
        <f t="shared" si="19"/>
        <v>0</v>
      </c>
    </row>
    <row r="301" spans="1:14" x14ac:dyDescent="0.25">
      <c r="A301">
        <f>VLOOKUP(B301,Calculations!$A$2:$B$10,2)+VLOOKUP(C301,Calculations!$C$2:$D$7,2)+VLOOKUP(D301,Calculations!$E$2:$F$6,2)+VLOOKUP(E301,Calculations!$G$2:$H$6,2)</f>
        <v>2572</v>
      </c>
      <c r="B301" t="s">
        <v>52</v>
      </c>
      <c r="C301" t="s">
        <v>16</v>
      </c>
      <c r="D301" t="s">
        <v>13</v>
      </c>
      <c r="E301" t="s">
        <v>28</v>
      </c>
      <c r="F301">
        <v>0</v>
      </c>
      <c r="G301">
        <v>0</v>
      </c>
      <c r="H301">
        <f t="shared" si="16"/>
        <v>0</v>
      </c>
      <c r="I301">
        <v>0</v>
      </c>
      <c r="J301">
        <f t="shared" si="17"/>
        <v>0</v>
      </c>
      <c r="K301">
        <v>0</v>
      </c>
      <c r="L301">
        <f t="shared" si="18"/>
        <v>0</v>
      </c>
      <c r="M301">
        <v>0</v>
      </c>
      <c r="N301">
        <f t="shared" si="19"/>
        <v>0</v>
      </c>
    </row>
    <row r="302" spans="1:14" x14ac:dyDescent="0.25">
      <c r="A302">
        <f>VLOOKUP(B302,Calculations!$A$2:$B$10,2)+VLOOKUP(C302,Calculations!$C$2:$D$7,2)+VLOOKUP(D302,Calculations!$E$2:$F$6,2)+VLOOKUP(E302,Calculations!$G$2:$H$6,2)</f>
        <v>2573</v>
      </c>
      <c r="B302" t="s">
        <v>52</v>
      </c>
      <c r="C302" t="s">
        <v>16</v>
      </c>
      <c r="D302" t="s">
        <v>14</v>
      </c>
      <c r="E302" t="s">
        <v>28</v>
      </c>
      <c r="F302">
        <v>0</v>
      </c>
      <c r="G302">
        <v>0</v>
      </c>
      <c r="H302">
        <f t="shared" si="16"/>
        <v>0</v>
      </c>
      <c r="I302">
        <v>0</v>
      </c>
      <c r="J302">
        <f t="shared" si="17"/>
        <v>0</v>
      </c>
      <c r="K302">
        <v>0</v>
      </c>
      <c r="L302">
        <f t="shared" si="18"/>
        <v>0</v>
      </c>
      <c r="M302">
        <v>0</v>
      </c>
      <c r="N302">
        <f t="shared" si="19"/>
        <v>0</v>
      </c>
    </row>
    <row r="303" spans="1:14" x14ac:dyDescent="0.25">
      <c r="A303">
        <f>VLOOKUP(B303,Calculations!$A$2:$B$10,2)+VLOOKUP(C303,Calculations!$C$2:$D$7,2)+VLOOKUP(D303,Calculations!$E$2:$F$6,2)+VLOOKUP(E303,Calculations!$G$2:$H$6,2)</f>
        <v>2574</v>
      </c>
      <c r="B303" t="s">
        <v>52</v>
      </c>
      <c r="C303" t="s">
        <v>16</v>
      </c>
      <c r="D303" t="s">
        <v>15</v>
      </c>
      <c r="E303" t="s">
        <v>28</v>
      </c>
      <c r="F303">
        <v>0</v>
      </c>
      <c r="G303">
        <v>0</v>
      </c>
      <c r="H303">
        <f t="shared" si="16"/>
        <v>0</v>
      </c>
      <c r="I303">
        <v>0</v>
      </c>
      <c r="J303">
        <f t="shared" si="17"/>
        <v>0</v>
      </c>
      <c r="K303">
        <v>0</v>
      </c>
      <c r="L303">
        <f t="shared" si="18"/>
        <v>0</v>
      </c>
      <c r="M303">
        <v>0</v>
      </c>
      <c r="N303">
        <f t="shared" si="19"/>
        <v>0</v>
      </c>
    </row>
    <row r="304" spans="1:14" x14ac:dyDescent="0.25">
      <c r="A304">
        <f>VLOOKUP(B304,Calculations!$A$2:$B$10,2)+VLOOKUP(C304,Calculations!$C$2:$D$7,2)+VLOOKUP(D304,Calculations!$E$2:$F$6,2)+VLOOKUP(E304,Calculations!$G$2:$H$6,2)</f>
        <v>2581</v>
      </c>
      <c r="B304" t="s">
        <v>8</v>
      </c>
      <c r="C304" t="s">
        <v>16</v>
      </c>
      <c r="D304" t="s">
        <v>54</v>
      </c>
      <c r="E304" t="s">
        <v>28</v>
      </c>
      <c r="F304">
        <v>0</v>
      </c>
      <c r="G304">
        <v>0</v>
      </c>
      <c r="H304">
        <f t="shared" si="16"/>
        <v>0</v>
      </c>
      <c r="I304">
        <v>0</v>
      </c>
      <c r="J304">
        <f t="shared" si="17"/>
        <v>0</v>
      </c>
      <c r="K304">
        <v>0</v>
      </c>
      <c r="L304">
        <f t="shared" si="18"/>
        <v>0</v>
      </c>
      <c r="M304">
        <v>0</v>
      </c>
      <c r="N304">
        <f t="shared" si="19"/>
        <v>0</v>
      </c>
    </row>
    <row r="305" spans="1:14" x14ac:dyDescent="0.25">
      <c r="A305">
        <f>VLOOKUP(B305,Calculations!$A$2:$B$10,2)+VLOOKUP(C305,Calculations!$C$2:$D$7,2)+VLOOKUP(D305,Calculations!$E$2:$F$6,2)+VLOOKUP(E305,Calculations!$G$2:$H$6,2)</f>
        <v>2582</v>
      </c>
      <c r="B305" t="s">
        <v>8</v>
      </c>
      <c r="C305" t="s">
        <v>16</v>
      </c>
      <c r="D305" t="s">
        <v>13</v>
      </c>
      <c r="E305" t="s">
        <v>28</v>
      </c>
      <c r="F305">
        <v>0</v>
      </c>
      <c r="G305">
        <v>0</v>
      </c>
      <c r="H305">
        <f t="shared" si="16"/>
        <v>0</v>
      </c>
      <c r="I305">
        <v>0</v>
      </c>
      <c r="J305">
        <f t="shared" si="17"/>
        <v>0</v>
      </c>
      <c r="K305">
        <v>0</v>
      </c>
      <c r="L305">
        <f t="shared" si="18"/>
        <v>0</v>
      </c>
      <c r="M305">
        <v>0</v>
      </c>
      <c r="N305">
        <f t="shared" si="19"/>
        <v>0</v>
      </c>
    </row>
    <row r="306" spans="1:14" x14ac:dyDescent="0.25">
      <c r="A306">
        <f>VLOOKUP(B306,Calculations!$A$2:$B$10,2)+VLOOKUP(C306,Calculations!$C$2:$D$7,2)+VLOOKUP(D306,Calculations!$E$2:$F$6,2)+VLOOKUP(E306,Calculations!$G$2:$H$6,2)</f>
        <v>2583</v>
      </c>
      <c r="B306" t="s">
        <v>8</v>
      </c>
      <c r="C306" t="s">
        <v>16</v>
      </c>
      <c r="D306" t="s">
        <v>14</v>
      </c>
      <c r="E306" t="s">
        <v>28</v>
      </c>
      <c r="F306">
        <v>0</v>
      </c>
      <c r="G306">
        <v>0</v>
      </c>
      <c r="H306">
        <f t="shared" si="16"/>
        <v>0</v>
      </c>
      <c r="I306">
        <v>0</v>
      </c>
      <c r="J306">
        <f t="shared" si="17"/>
        <v>0</v>
      </c>
      <c r="K306">
        <v>0</v>
      </c>
      <c r="L306">
        <f t="shared" si="18"/>
        <v>0</v>
      </c>
      <c r="M306">
        <v>0</v>
      </c>
      <c r="N306">
        <f t="shared" si="19"/>
        <v>0</v>
      </c>
    </row>
    <row r="307" spans="1:14" x14ac:dyDescent="0.25">
      <c r="A307">
        <f>VLOOKUP(B307,Calculations!$A$2:$B$10,2)+VLOOKUP(C307,Calculations!$C$2:$D$7,2)+VLOOKUP(D307,Calculations!$E$2:$F$6,2)+VLOOKUP(E307,Calculations!$G$2:$H$6,2)</f>
        <v>2584</v>
      </c>
      <c r="B307" t="s">
        <v>8</v>
      </c>
      <c r="C307" t="s">
        <v>16</v>
      </c>
      <c r="D307" t="s">
        <v>15</v>
      </c>
      <c r="E307" t="s">
        <v>28</v>
      </c>
      <c r="F307">
        <v>0</v>
      </c>
      <c r="G307">
        <v>0</v>
      </c>
      <c r="H307">
        <f t="shared" si="16"/>
        <v>0</v>
      </c>
      <c r="I307">
        <v>0</v>
      </c>
      <c r="J307">
        <f t="shared" si="17"/>
        <v>0</v>
      </c>
      <c r="K307">
        <v>0</v>
      </c>
      <c r="L307">
        <f t="shared" si="18"/>
        <v>0</v>
      </c>
      <c r="M307">
        <v>0</v>
      </c>
      <c r="N307">
        <f t="shared" si="19"/>
        <v>0</v>
      </c>
    </row>
    <row r="308" spans="1:14" x14ac:dyDescent="0.25">
      <c r="A308">
        <f>VLOOKUP(B308,Calculations!$A$2:$B$10,2)+VLOOKUP(C308,Calculations!$C$2:$D$7,2)+VLOOKUP(D308,Calculations!$E$2:$F$6,2)+VLOOKUP(E308,Calculations!$G$2:$H$6,2)</f>
        <v>3200</v>
      </c>
      <c r="B308" t="s">
        <v>5</v>
      </c>
      <c r="C308" t="s">
        <v>17</v>
      </c>
      <c r="D308" t="s">
        <v>12</v>
      </c>
      <c r="E308" t="s">
        <v>30</v>
      </c>
      <c r="F308">
        <v>1</v>
      </c>
      <c r="G308">
        <v>0</v>
      </c>
      <c r="H308">
        <f t="shared" si="16"/>
        <v>0</v>
      </c>
      <c r="I308">
        <v>1</v>
      </c>
      <c r="J308">
        <f t="shared" si="17"/>
        <v>3200</v>
      </c>
      <c r="K308">
        <v>1</v>
      </c>
      <c r="L308">
        <f t="shared" si="18"/>
        <v>3200</v>
      </c>
      <c r="M308">
        <v>1</v>
      </c>
      <c r="N308">
        <f t="shared" si="19"/>
        <v>3200</v>
      </c>
    </row>
    <row r="309" spans="1:14" x14ac:dyDescent="0.25">
      <c r="A309">
        <f>VLOOKUP(B309,Calculations!$A$2:$B$10,2)+VLOOKUP(C309,Calculations!$C$2:$D$7,2)+VLOOKUP(D309,Calculations!$E$2:$F$6,2)+VLOOKUP(E309,Calculations!$G$2:$H$6,2)</f>
        <v>3210</v>
      </c>
      <c r="B309" t="s">
        <v>6</v>
      </c>
      <c r="C309" t="s">
        <v>17</v>
      </c>
      <c r="D309" t="s">
        <v>12</v>
      </c>
      <c r="E309" t="s">
        <v>30</v>
      </c>
      <c r="F309">
        <v>1</v>
      </c>
      <c r="G309">
        <v>0</v>
      </c>
      <c r="H309">
        <f t="shared" si="16"/>
        <v>0</v>
      </c>
      <c r="I309">
        <v>1</v>
      </c>
      <c r="J309">
        <f t="shared" si="17"/>
        <v>3210</v>
      </c>
      <c r="K309">
        <v>1</v>
      </c>
      <c r="L309">
        <f t="shared" si="18"/>
        <v>3210</v>
      </c>
      <c r="M309">
        <v>1</v>
      </c>
      <c r="N309">
        <f t="shared" si="19"/>
        <v>3210</v>
      </c>
    </row>
    <row r="310" spans="1:14" x14ac:dyDescent="0.25">
      <c r="A310">
        <f>VLOOKUP(B310,Calculations!$A$2:$B$10,2)+VLOOKUP(C310,Calculations!$C$2:$D$7,2)+VLOOKUP(D310,Calculations!$E$2:$F$6,2)+VLOOKUP(E310,Calculations!$G$2:$H$6,2)</f>
        <v>3220</v>
      </c>
      <c r="B310" t="s">
        <v>7</v>
      </c>
      <c r="C310" t="s">
        <v>17</v>
      </c>
      <c r="D310" t="s">
        <v>12</v>
      </c>
      <c r="E310" t="s">
        <v>30</v>
      </c>
      <c r="F310">
        <v>1</v>
      </c>
      <c r="G310">
        <v>0</v>
      </c>
      <c r="H310">
        <f t="shared" si="16"/>
        <v>0</v>
      </c>
      <c r="I310">
        <v>1</v>
      </c>
      <c r="J310">
        <f t="shared" si="17"/>
        <v>3220</v>
      </c>
      <c r="K310">
        <v>1</v>
      </c>
      <c r="L310">
        <f t="shared" si="18"/>
        <v>3220</v>
      </c>
      <c r="M310">
        <v>1</v>
      </c>
      <c r="N310">
        <f t="shared" si="19"/>
        <v>3220</v>
      </c>
    </row>
    <row r="311" spans="1:14" x14ac:dyDescent="0.25">
      <c r="A311">
        <f>VLOOKUP(B311,Calculations!$A$2:$B$10,2)+VLOOKUP(C311,Calculations!$C$2:$D$7,2)+VLOOKUP(D311,Calculations!$E$2:$F$6,2)+VLOOKUP(E311,Calculations!$G$2:$H$6,2)</f>
        <v>3230</v>
      </c>
      <c r="B311" t="s">
        <v>53</v>
      </c>
      <c r="C311" t="s">
        <v>17</v>
      </c>
      <c r="D311" t="s">
        <v>12</v>
      </c>
      <c r="E311" t="s">
        <v>30</v>
      </c>
      <c r="F311">
        <v>1</v>
      </c>
      <c r="G311">
        <v>0</v>
      </c>
      <c r="H311">
        <f t="shared" si="16"/>
        <v>0</v>
      </c>
      <c r="I311">
        <v>1</v>
      </c>
      <c r="J311">
        <f t="shared" si="17"/>
        <v>3230</v>
      </c>
      <c r="K311">
        <v>1</v>
      </c>
      <c r="L311">
        <f t="shared" si="18"/>
        <v>3230</v>
      </c>
      <c r="M311">
        <v>1</v>
      </c>
      <c r="N311">
        <f t="shared" si="19"/>
        <v>3230</v>
      </c>
    </row>
    <row r="312" spans="1:14" x14ac:dyDescent="0.25">
      <c r="A312">
        <f>VLOOKUP(B312,Calculations!$A$2:$B$10,2)+VLOOKUP(C312,Calculations!$C$2:$D$7,2)+VLOOKUP(D312,Calculations!$E$2:$F$6,2)+VLOOKUP(E312,Calculations!$G$2:$H$6,2)</f>
        <v>3240</v>
      </c>
      <c r="B312" t="s">
        <v>9</v>
      </c>
      <c r="C312" t="s">
        <v>17</v>
      </c>
      <c r="D312" t="s">
        <v>12</v>
      </c>
      <c r="E312" t="s">
        <v>30</v>
      </c>
      <c r="F312">
        <v>1</v>
      </c>
      <c r="G312">
        <v>0</v>
      </c>
      <c r="H312">
        <f t="shared" si="16"/>
        <v>0</v>
      </c>
      <c r="I312">
        <v>1</v>
      </c>
      <c r="J312">
        <f t="shared" si="17"/>
        <v>3240</v>
      </c>
      <c r="K312">
        <v>1</v>
      </c>
      <c r="L312">
        <f t="shared" si="18"/>
        <v>3240</v>
      </c>
      <c r="M312">
        <v>1</v>
      </c>
      <c r="N312">
        <f t="shared" si="19"/>
        <v>3240</v>
      </c>
    </row>
    <row r="313" spans="1:14" x14ac:dyDescent="0.25">
      <c r="A313">
        <f>VLOOKUP(B313,Calculations!$A$2:$B$10,2)+VLOOKUP(C313,Calculations!$C$2:$D$7,2)+VLOOKUP(D313,Calculations!$E$2:$F$6,2)+VLOOKUP(E313,Calculations!$G$2:$H$6,2)</f>
        <v>3250</v>
      </c>
      <c r="B313" t="s">
        <v>50</v>
      </c>
      <c r="C313" t="s">
        <v>17</v>
      </c>
      <c r="D313" t="s">
        <v>12</v>
      </c>
      <c r="E313" t="s">
        <v>30</v>
      </c>
      <c r="F313">
        <v>0</v>
      </c>
      <c r="G313">
        <v>0</v>
      </c>
      <c r="H313">
        <f t="shared" si="16"/>
        <v>0</v>
      </c>
      <c r="I313">
        <v>0</v>
      </c>
      <c r="J313">
        <f t="shared" si="17"/>
        <v>0</v>
      </c>
      <c r="K313">
        <v>0</v>
      </c>
      <c r="L313">
        <f t="shared" si="18"/>
        <v>0</v>
      </c>
      <c r="M313">
        <v>0</v>
      </c>
      <c r="N313">
        <f t="shared" si="19"/>
        <v>0</v>
      </c>
    </row>
    <row r="314" spans="1:14" x14ac:dyDescent="0.25">
      <c r="A314">
        <f>VLOOKUP(B314,Calculations!$A$2:$B$10,2)+VLOOKUP(C314,Calculations!$C$2:$D$7,2)+VLOOKUP(D314,Calculations!$E$2:$F$6,2)+VLOOKUP(E314,Calculations!$G$2:$H$6,2)</f>
        <v>3260</v>
      </c>
      <c r="B314" t="s">
        <v>51</v>
      </c>
      <c r="C314" t="s">
        <v>17</v>
      </c>
      <c r="D314" t="s">
        <v>12</v>
      </c>
      <c r="E314" t="s">
        <v>30</v>
      </c>
      <c r="F314">
        <v>0</v>
      </c>
      <c r="G314">
        <v>0</v>
      </c>
      <c r="H314">
        <f t="shared" si="16"/>
        <v>0</v>
      </c>
      <c r="I314">
        <v>0</v>
      </c>
      <c r="J314">
        <f t="shared" si="17"/>
        <v>0</v>
      </c>
      <c r="K314">
        <v>0</v>
      </c>
      <c r="L314">
        <f t="shared" si="18"/>
        <v>0</v>
      </c>
      <c r="M314">
        <v>0</v>
      </c>
      <c r="N314">
        <f t="shared" si="19"/>
        <v>0</v>
      </c>
    </row>
    <row r="315" spans="1:14" x14ac:dyDescent="0.25">
      <c r="A315">
        <f>VLOOKUP(B315,Calculations!$A$2:$B$10,2)+VLOOKUP(C315,Calculations!$C$2:$D$7,2)+VLOOKUP(D315,Calculations!$E$2:$F$6,2)+VLOOKUP(E315,Calculations!$G$2:$H$6,2)</f>
        <v>3270</v>
      </c>
      <c r="B315" t="s">
        <v>52</v>
      </c>
      <c r="C315" t="s">
        <v>17</v>
      </c>
      <c r="D315" t="s">
        <v>12</v>
      </c>
      <c r="E315" t="s">
        <v>30</v>
      </c>
      <c r="F315">
        <v>0</v>
      </c>
      <c r="G315">
        <v>0</v>
      </c>
      <c r="H315">
        <f t="shared" si="16"/>
        <v>0</v>
      </c>
      <c r="I315">
        <v>0</v>
      </c>
      <c r="J315">
        <f t="shared" si="17"/>
        <v>0</v>
      </c>
      <c r="K315">
        <v>0</v>
      </c>
      <c r="L315">
        <f t="shared" si="18"/>
        <v>0</v>
      </c>
      <c r="M315">
        <v>0</v>
      </c>
      <c r="N315">
        <f t="shared" si="19"/>
        <v>0</v>
      </c>
    </row>
    <row r="316" spans="1:14" x14ac:dyDescent="0.25">
      <c r="A316">
        <f>VLOOKUP(B316,Calculations!$A$2:$B$10,2)+VLOOKUP(C316,Calculations!$C$2:$D$7,2)+VLOOKUP(D316,Calculations!$E$2:$F$6,2)+VLOOKUP(E316,Calculations!$G$2:$H$6,2)</f>
        <v>3280</v>
      </c>
      <c r="B316" t="s">
        <v>8</v>
      </c>
      <c r="C316" t="s">
        <v>17</v>
      </c>
      <c r="D316" t="s">
        <v>12</v>
      </c>
      <c r="E316" t="s">
        <v>30</v>
      </c>
      <c r="F316">
        <v>0</v>
      </c>
      <c r="G316">
        <v>0</v>
      </c>
      <c r="H316">
        <f t="shared" si="16"/>
        <v>0</v>
      </c>
      <c r="I316">
        <v>0</v>
      </c>
      <c r="J316">
        <f t="shared" si="17"/>
        <v>0</v>
      </c>
      <c r="K316">
        <v>0</v>
      </c>
      <c r="L316">
        <f t="shared" si="18"/>
        <v>0</v>
      </c>
      <c r="M316">
        <v>0</v>
      </c>
      <c r="N316">
        <f t="shared" si="19"/>
        <v>0</v>
      </c>
    </row>
    <row r="317" spans="1:14" x14ac:dyDescent="0.25">
      <c r="A317">
        <f>VLOOKUP(B317,Calculations!$A$2:$B$10,2)+VLOOKUP(C317,Calculations!$C$2:$D$7,2)+VLOOKUP(D317,Calculations!$E$2:$F$6,2)+VLOOKUP(E317,Calculations!$G$2:$H$6,2)</f>
        <v>3201</v>
      </c>
      <c r="B317" t="s">
        <v>5</v>
      </c>
      <c r="C317" t="s">
        <v>17</v>
      </c>
      <c r="D317" t="s">
        <v>54</v>
      </c>
      <c r="E317" t="s">
        <v>25</v>
      </c>
      <c r="F317">
        <v>1</v>
      </c>
      <c r="G317">
        <v>0</v>
      </c>
      <c r="H317">
        <f t="shared" si="16"/>
        <v>0</v>
      </c>
      <c r="I317">
        <v>0</v>
      </c>
      <c r="J317">
        <f t="shared" si="17"/>
        <v>0</v>
      </c>
      <c r="K317">
        <v>1</v>
      </c>
      <c r="L317">
        <f t="shared" si="18"/>
        <v>3201</v>
      </c>
      <c r="M317">
        <v>1</v>
      </c>
      <c r="N317">
        <f t="shared" si="19"/>
        <v>3201</v>
      </c>
    </row>
    <row r="318" spans="1:14" x14ac:dyDescent="0.25">
      <c r="A318">
        <f>VLOOKUP(B318,Calculations!$A$2:$B$10,2)+VLOOKUP(C318,Calculations!$C$2:$D$7,2)+VLOOKUP(D318,Calculations!$E$2:$F$6,2)+VLOOKUP(E318,Calculations!$G$2:$H$6,2)</f>
        <v>3202</v>
      </c>
      <c r="B318" t="s">
        <v>5</v>
      </c>
      <c r="C318" t="s">
        <v>17</v>
      </c>
      <c r="D318" t="s">
        <v>13</v>
      </c>
      <c r="E318" t="s">
        <v>25</v>
      </c>
      <c r="F318">
        <v>1</v>
      </c>
      <c r="G318">
        <v>0</v>
      </c>
      <c r="H318">
        <f t="shared" si="16"/>
        <v>0</v>
      </c>
      <c r="I318">
        <v>0</v>
      </c>
      <c r="J318">
        <f t="shared" si="17"/>
        <v>0</v>
      </c>
      <c r="K318">
        <v>1</v>
      </c>
      <c r="L318">
        <f t="shared" si="18"/>
        <v>3202</v>
      </c>
      <c r="M318">
        <v>1</v>
      </c>
      <c r="N318">
        <f t="shared" si="19"/>
        <v>3202</v>
      </c>
    </row>
    <row r="319" spans="1:14" x14ac:dyDescent="0.25">
      <c r="A319">
        <f>VLOOKUP(B319,Calculations!$A$2:$B$10,2)+VLOOKUP(C319,Calculations!$C$2:$D$7,2)+VLOOKUP(D319,Calculations!$E$2:$F$6,2)+VLOOKUP(E319,Calculations!$G$2:$H$6,2)</f>
        <v>3203</v>
      </c>
      <c r="B319" t="s">
        <v>5</v>
      </c>
      <c r="C319" t="s">
        <v>17</v>
      </c>
      <c r="D319" t="s">
        <v>14</v>
      </c>
      <c r="E319" t="s">
        <v>25</v>
      </c>
      <c r="F319">
        <v>1</v>
      </c>
      <c r="G319">
        <v>0</v>
      </c>
      <c r="H319">
        <f t="shared" si="16"/>
        <v>0</v>
      </c>
      <c r="I319">
        <v>0</v>
      </c>
      <c r="J319">
        <f t="shared" si="17"/>
        <v>0</v>
      </c>
      <c r="K319">
        <v>1</v>
      </c>
      <c r="L319">
        <f t="shared" si="18"/>
        <v>3203</v>
      </c>
      <c r="M319">
        <v>1</v>
      </c>
      <c r="N319">
        <f t="shared" si="19"/>
        <v>3203</v>
      </c>
    </row>
    <row r="320" spans="1:14" x14ac:dyDescent="0.25">
      <c r="A320">
        <f>VLOOKUP(B320,Calculations!$A$2:$B$10,2)+VLOOKUP(C320,Calculations!$C$2:$D$7,2)+VLOOKUP(D320,Calculations!$E$2:$F$6,2)+VLOOKUP(E320,Calculations!$G$2:$H$6,2)</f>
        <v>3204</v>
      </c>
      <c r="B320" t="s">
        <v>5</v>
      </c>
      <c r="C320" t="s">
        <v>17</v>
      </c>
      <c r="D320" t="s">
        <v>15</v>
      </c>
      <c r="E320" t="s">
        <v>25</v>
      </c>
      <c r="F320">
        <v>0</v>
      </c>
      <c r="G320">
        <v>0</v>
      </c>
      <c r="H320">
        <f t="shared" si="16"/>
        <v>0</v>
      </c>
      <c r="I320">
        <v>0</v>
      </c>
      <c r="J320">
        <f t="shared" si="17"/>
        <v>0</v>
      </c>
      <c r="K320">
        <v>0</v>
      </c>
      <c r="L320">
        <f t="shared" si="18"/>
        <v>0</v>
      </c>
      <c r="M320">
        <v>0</v>
      </c>
      <c r="N320">
        <f t="shared" si="19"/>
        <v>0</v>
      </c>
    </row>
    <row r="321" spans="1:14" x14ac:dyDescent="0.25">
      <c r="A321">
        <f>VLOOKUP(B321,Calculations!$A$2:$B$10,2)+VLOOKUP(C321,Calculations!$C$2:$D$7,2)+VLOOKUP(D321,Calculations!$E$2:$F$6,2)+VLOOKUP(E321,Calculations!$G$2:$H$6,2)</f>
        <v>3211</v>
      </c>
      <c r="B321" t="s">
        <v>6</v>
      </c>
      <c r="C321" t="s">
        <v>17</v>
      </c>
      <c r="D321" t="s">
        <v>54</v>
      </c>
      <c r="E321" t="s">
        <v>25</v>
      </c>
      <c r="F321">
        <v>1</v>
      </c>
      <c r="G321">
        <v>0</v>
      </c>
      <c r="H321">
        <f t="shared" si="16"/>
        <v>0</v>
      </c>
      <c r="I321">
        <v>0</v>
      </c>
      <c r="J321">
        <f t="shared" si="17"/>
        <v>0</v>
      </c>
      <c r="K321">
        <v>1</v>
      </c>
      <c r="L321">
        <f t="shared" si="18"/>
        <v>3211</v>
      </c>
      <c r="M321">
        <v>1</v>
      </c>
      <c r="N321">
        <f t="shared" si="19"/>
        <v>3211</v>
      </c>
    </row>
    <row r="322" spans="1:14" x14ac:dyDescent="0.25">
      <c r="A322">
        <f>VLOOKUP(B322,Calculations!$A$2:$B$10,2)+VLOOKUP(C322,Calculations!$C$2:$D$7,2)+VLOOKUP(D322,Calculations!$E$2:$F$6,2)+VLOOKUP(E322,Calculations!$G$2:$H$6,2)</f>
        <v>3212</v>
      </c>
      <c r="B322" t="s">
        <v>6</v>
      </c>
      <c r="C322" t="s">
        <v>17</v>
      </c>
      <c r="D322" t="s">
        <v>13</v>
      </c>
      <c r="E322" t="s">
        <v>25</v>
      </c>
      <c r="F322">
        <v>1</v>
      </c>
      <c r="G322">
        <v>0</v>
      </c>
      <c r="H322">
        <f t="shared" ref="H322:H385" si="20">A322*G322</f>
        <v>0</v>
      </c>
      <c r="I322">
        <v>0</v>
      </c>
      <c r="J322">
        <f t="shared" ref="J322:J385" si="21">A322*I322</f>
        <v>0</v>
      </c>
      <c r="K322">
        <v>1</v>
      </c>
      <c r="L322">
        <f t="shared" ref="L322:L385" si="22">K322*A322</f>
        <v>3212</v>
      </c>
      <c r="M322">
        <v>1</v>
      </c>
      <c r="N322">
        <f t="shared" ref="N322:N385" si="23">A322*M322</f>
        <v>3212</v>
      </c>
    </row>
    <row r="323" spans="1:14" x14ac:dyDescent="0.25">
      <c r="A323">
        <f>VLOOKUP(B323,Calculations!$A$2:$B$10,2)+VLOOKUP(C323,Calculations!$C$2:$D$7,2)+VLOOKUP(D323,Calculations!$E$2:$F$6,2)+VLOOKUP(E323,Calculations!$G$2:$H$6,2)</f>
        <v>3213</v>
      </c>
      <c r="B323" t="s">
        <v>6</v>
      </c>
      <c r="C323" t="s">
        <v>17</v>
      </c>
      <c r="D323" t="s">
        <v>14</v>
      </c>
      <c r="E323" t="s">
        <v>25</v>
      </c>
      <c r="F323">
        <v>1</v>
      </c>
      <c r="G323">
        <v>0</v>
      </c>
      <c r="H323">
        <f t="shared" si="20"/>
        <v>0</v>
      </c>
      <c r="I323">
        <v>0</v>
      </c>
      <c r="J323">
        <f t="shared" si="21"/>
        <v>0</v>
      </c>
      <c r="K323">
        <v>1</v>
      </c>
      <c r="L323">
        <f t="shared" si="22"/>
        <v>3213</v>
      </c>
      <c r="M323">
        <v>1</v>
      </c>
      <c r="N323">
        <f t="shared" si="23"/>
        <v>3213</v>
      </c>
    </row>
    <row r="324" spans="1:14" x14ac:dyDescent="0.25">
      <c r="A324">
        <f>VLOOKUP(B324,Calculations!$A$2:$B$10,2)+VLOOKUP(C324,Calculations!$C$2:$D$7,2)+VLOOKUP(D324,Calculations!$E$2:$F$6,2)+VLOOKUP(E324,Calculations!$G$2:$H$6,2)</f>
        <v>3214</v>
      </c>
      <c r="B324" t="s">
        <v>6</v>
      </c>
      <c r="C324" t="s">
        <v>17</v>
      </c>
      <c r="D324" t="s">
        <v>15</v>
      </c>
      <c r="E324" t="s">
        <v>25</v>
      </c>
      <c r="F324">
        <v>0</v>
      </c>
      <c r="G324">
        <v>0</v>
      </c>
      <c r="H324">
        <f t="shared" si="20"/>
        <v>0</v>
      </c>
      <c r="I324">
        <v>0</v>
      </c>
      <c r="J324">
        <f t="shared" si="21"/>
        <v>0</v>
      </c>
      <c r="K324">
        <v>0</v>
      </c>
      <c r="L324">
        <f t="shared" si="22"/>
        <v>0</v>
      </c>
      <c r="M324">
        <v>0</v>
      </c>
      <c r="N324">
        <f t="shared" si="23"/>
        <v>0</v>
      </c>
    </row>
    <row r="325" spans="1:14" x14ac:dyDescent="0.25">
      <c r="A325">
        <f>VLOOKUP(B325,Calculations!$A$2:$B$10,2)+VLOOKUP(C325,Calculations!$C$2:$D$7,2)+VLOOKUP(D325,Calculations!$E$2:$F$6,2)+VLOOKUP(E325,Calculations!$G$2:$H$6,2)</f>
        <v>3221</v>
      </c>
      <c r="B325" t="s">
        <v>7</v>
      </c>
      <c r="C325" t="s">
        <v>17</v>
      </c>
      <c r="D325" t="s">
        <v>54</v>
      </c>
      <c r="E325" t="s">
        <v>25</v>
      </c>
      <c r="F325">
        <v>1</v>
      </c>
      <c r="G325">
        <v>0</v>
      </c>
      <c r="H325">
        <f t="shared" si="20"/>
        <v>0</v>
      </c>
      <c r="I325">
        <v>0</v>
      </c>
      <c r="J325">
        <f t="shared" si="21"/>
        <v>0</v>
      </c>
      <c r="K325">
        <v>1</v>
      </c>
      <c r="L325">
        <f t="shared" si="22"/>
        <v>3221</v>
      </c>
      <c r="M325">
        <v>1</v>
      </c>
      <c r="N325">
        <f t="shared" si="23"/>
        <v>3221</v>
      </c>
    </row>
    <row r="326" spans="1:14" x14ac:dyDescent="0.25">
      <c r="A326">
        <f>VLOOKUP(B326,Calculations!$A$2:$B$10,2)+VLOOKUP(C326,Calculations!$C$2:$D$7,2)+VLOOKUP(D326,Calculations!$E$2:$F$6,2)+VLOOKUP(E326,Calculations!$G$2:$H$6,2)</f>
        <v>3222</v>
      </c>
      <c r="B326" t="s">
        <v>7</v>
      </c>
      <c r="C326" t="s">
        <v>17</v>
      </c>
      <c r="D326" t="s">
        <v>13</v>
      </c>
      <c r="E326" t="s">
        <v>25</v>
      </c>
      <c r="F326">
        <v>1</v>
      </c>
      <c r="G326">
        <v>0</v>
      </c>
      <c r="H326">
        <f t="shared" si="20"/>
        <v>0</v>
      </c>
      <c r="I326">
        <v>0</v>
      </c>
      <c r="J326">
        <f t="shared" si="21"/>
        <v>0</v>
      </c>
      <c r="K326">
        <v>1</v>
      </c>
      <c r="L326">
        <f t="shared" si="22"/>
        <v>3222</v>
      </c>
      <c r="M326">
        <v>1</v>
      </c>
      <c r="N326">
        <f t="shared" si="23"/>
        <v>3222</v>
      </c>
    </row>
    <row r="327" spans="1:14" x14ac:dyDescent="0.25">
      <c r="A327">
        <f>VLOOKUP(B327,Calculations!$A$2:$B$10,2)+VLOOKUP(C327,Calculations!$C$2:$D$7,2)+VLOOKUP(D327,Calculations!$E$2:$F$6,2)+VLOOKUP(E327,Calculations!$G$2:$H$6,2)</f>
        <v>3223</v>
      </c>
      <c r="B327" t="s">
        <v>7</v>
      </c>
      <c r="C327" t="s">
        <v>17</v>
      </c>
      <c r="D327" t="s">
        <v>14</v>
      </c>
      <c r="E327" t="s">
        <v>25</v>
      </c>
      <c r="F327">
        <v>1</v>
      </c>
      <c r="G327">
        <v>0</v>
      </c>
      <c r="H327">
        <f t="shared" si="20"/>
        <v>0</v>
      </c>
      <c r="I327">
        <v>0</v>
      </c>
      <c r="J327">
        <f t="shared" si="21"/>
        <v>0</v>
      </c>
      <c r="K327">
        <v>1</v>
      </c>
      <c r="L327">
        <f t="shared" si="22"/>
        <v>3223</v>
      </c>
      <c r="M327">
        <v>1</v>
      </c>
      <c r="N327">
        <f t="shared" si="23"/>
        <v>3223</v>
      </c>
    </row>
    <row r="328" spans="1:14" x14ac:dyDescent="0.25">
      <c r="A328">
        <f>VLOOKUP(B328,Calculations!$A$2:$B$10,2)+VLOOKUP(C328,Calculations!$C$2:$D$7,2)+VLOOKUP(D328,Calculations!$E$2:$F$6,2)+VLOOKUP(E328,Calculations!$G$2:$H$6,2)</f>
        <v>3224</v>
      </c>
      <c r="B328" t="s">
        <v>7</v>
      </c>
      <c r="C328" t="s">
        <v>17</v>
      </c>
      <c r="D328" t="s">
        <v>15</v>
      </c>
      <c r="E328" t="s">
        <v>25</v>
      </c>
      <c r="F328">
        <v>1</v>
      </c>
      <c r="G328">
        <v>0</v>
      </c>
      <c r="H328">
        <f t="shared" si="20"/>
        <v>0</v>
      </c>
      <c r="I328">
        <v>0</v>
      </c>
      <c r="J328">
        <f t="shared" si="21"/>
        <v>0</v>
      </c>
      <c r="K328">
        <v>1</v>
      </c>
      <c r="L328">
        <f t="shared" si="22"/>
        <v>3224</v>
      </c>
      <c r="M328">
        <v>1</v>
      </c>
      <c r="N328">
        <f t="shared" si="23"/>
        <v>3224</v>
      </c>
    </row>
    <row r="329" spans="1:14" x14ac:dyDescent="0.25">
      <c r="A329">
        <f>VLOOKUP(B329,Calculations!$A$2:$B$10,2)+VLOOKUP(C329,Calculations!$C$2:$D$7,2)+VLOOKUP(D329,Calculations!$E$2:$F$6,2)+VLOOKUP(E329,Calculations!$G$2:$H$6,2)</f>
        <v>3231</v>
      </c>
      <c r="B329" t="s">
        <v>53</v>
      </c>
      <c r="C329" t="s">
        <v>17</v>
      </c>
      <c r="D329" t="s">
        <v>54</v>
      </c>
      <c r="E329" t="s">
        <v>25</v>
      </c>
      <c r="F329">
        <v>1</v>
      </c>
      <c r="G329">
        <v>0</v>
      </c>
      <c r="H329">
        <f t="shared" si="20"/>
        <v>0</v>
      </c>
      <c r="I329">
        <v>0</v>
      </c>
      <c r="J329">
        <f t="shared" si="21"/>
        <v>0</v>
      </c>
      <c r="K329">
        <v>1</v>
      </c>
      <c r="L329">
        <f t="shared" si="22"/>
        <v>3231</v>
      </c>
      <c r="M329">
        <v>1</v>
      </c>
      <c r="N329">
        <f t="shared" si="23"/>
        <v>3231</v>
      </c>
    </row>
    <row r="330" spans="1:14" x14ac:dyDescent="0.25">
      <c r="A330">
        <f>VLOOKUP(B330,Calculations!$A$2:$B$10,2)+VLOOKUP(C330,Calculations!$C$2:$D$7,2)+VLOOKUP(D330,Calculations!$E$2:$F$6,2)+VLOOKUP(E330,Calculations!$G$2:$H$6,2)</f>
        <v>3232</v>
      </c>
      <c r="B330" t="s">
        <v>53</v>
      </c>
      <c r="C330" t="s">
        <v>17</v>
      </c>
      <c r="D330" t="s">
        <v>13</v>
      </c>
      <c r="E330" t="s">
        <v>25</v>
      </c>
      <c r="F330">
        <v>1</v>
      </c>
      <c r="G330">
        <v>0</v>
      </c>
      <c r="H330">
        <f t="shared" si="20"/>
        <v>0</v>
      </c>
      <c r="I330">
        <v>0</v>
      </c>
      <c r="J330">
        <f t="shared" si="21"/>
        <v>0</v>
      </c>
      <c r="K330">
        <v>1</v>
      </c>
      <c r="L330">
        <f t="shared" si="22"/>
        <v>3232</v>
      </c>
      <c r="M330">
        <v>1</v>
      </c>
      <c r="N330">
        <f t="shared" si="23"/>
        <v>3232</v>
      </c>
    </row>
    <row r="331" spans="1:14" x14ac:dyDescent="0.25">
      <c r="A331">
        <f>VLOOKUP(B331,Calculations!$A$2:$B$10,2)+VLOOKUP(C331,Calculations!$C$2:$D$7,2)+VLOOKUP(D331,Calculations!$E$2:$F$6,2)+VLOOKUP(E331,Calculations!$G$2:$H$6,2)</f>
        <v>3233</v>
      </c>
      <c r="B331" t="s">
        <v>53</v>
      </c>
      <c r="C331" t="s">
        <v>17</v>
      </c>
      <c r="D331" t="s">
        <v>14</v>
      </c>
      <c r="E331" t="s">
        <v>25</v>
      </c>
      <c r="F331">
        <v>1</v>
      </c>
      <c r="G331">
        <v>0</v>
      </c>
      <c r="H331">
        <f t="shared" si="20"/>
        <v>0</v>
      </c>
      <c r="I331">
        <v>0</v>
      </c>
      <c r="J331">
        <f t="shared" si="21"/>
        <v>0</v>
      </c>
      <c r="K331">
        <v>1</v>
      </c>
      <c r="L331">
        <f t="shared" si="22"/>
        <v>3233</v>
      </c>
      <c r="M331">
        <v>1</v>
      </c>
      <c r="N331">
        <f t="shared" si="23"/>
        <v>3233</v>
      </c>
    </row>
    <row r="332" spans="1:14" x14ac:dyDescent="0.25">
      <c r="A332">
        <f>VLOOKUP(B332,Calculations!$A$2:$B$10,2)+VLOOKUP(C332,Calculations!$C$2:$D$7,2)+VLOOKUP(D332,Calculations!$E$2:$F$6,2)+VLOOKUP(E332,Calculations!$G$2:$H$6,2)</f>
        <v>3234</v>
      </c>
      <c r="B332" t="s">
        <v>53</v>
      </c>
      <c r="C332" t="s">
        <v>17</v>
      </c>
      <c r="D332" t="s">
        <v>15</v>
      </c>
      <c r="E332" t="s">
        <v>25</v>
      </c>
      <c r="F332">
        <v>1</v>
      </c>
      <c r="G332">
        <v>0</v>
      </c>
      <c r="H332">
        <f t="shared" si="20"/>
        <v>0</v>
      </c>
      <c r="I332">
        <v>0</v>
      </c>
      <c r="J332">
        <f t="shared" si="21"/>
        <v>0</v>
      </c>
      <c r="K332">
        <v>1</v>
      </c>
      <c r="L332">
        <f t="shared" si="22"/>
        <v>3234</v>
      </c>
      <c r="M332">
        <v>1</v>
      </c>
      <c r="N332">
        <f t="shared" si="23"/>
        <v>3234</v>
      </c>
    </row>
    <row r="333" spans="1:14" x14ac:dyDescent="0.25">
      <c r="A333">
        <f>VLOOKUP(B333,Calculations!$A$2:$B$10,2)+VLOOKUP(C333,Calculations!$C$2:$D$7,2)+VLOOKUP(D333,Calculations!$E$2:$F$6,2)+VLOOKUP(E333,Calculations!$G$2:$H$6,2)</f>
        <v>3241</v>
      </c>
      <c r="B333" t="s">
        <v>9</v>
      </c>
      <c r="C333" t="s">
        <v>17</v>
      </c>
      <c r="D333" t="s">
        <v>54</v>
      </c>
      <c r="E333" t="s">
        <v>25</v>
      </c>
      <c r="F333">
        <v>1</v>
      </c>
      <c r="G333">
        <v>0</v>
      </c>
      <c r="H333">
        <f t="shared" si="20"/>
        <v>0</v>
      </c>
      <c r="I333">
        <v>0</v>
      </c>
      <c r="J333">
        <f t="shared" si="21"/>
        <v>0</v>
      </c>
      <c r="K333">
        <v>1</v>
      </c>
      <c r="L333">
        <f t="shared" si="22"/>
        <v>3241</v>
      </c>
      <c r="M333">
        <v>1</v>
      </c>
      <c r="N333">
        <f t="shared" si="23"/>
        <v>3241</v>
      </c>
    </row>
    <row r="334" spans="1:14" x14ac:dyDescent="0.25">
      <c r="A334">
        <f>VLOOKUP(B334,Calculations!$A$2:$B$10,2)+VLOOKUP(C334,Calculations!$C$2:$D$7,2)+VLOOKUP(D334,Calculations!$E$2:$F$6,2)+VLOOKUP(E334,Calculations!$G$2:$H$6,2)</f>
        <v>3242</v>
      </c>
      <c r="B334" t="s">
        <v>9</v>
      </c>
      <c r="C334" t="s">
        <v>17</v>
      </c>
      <c r="D334" t="s">
        <v>13</v>
      </c>
      <c r="E334" t="s">
        <v>25</v>
      </c>
      <c r="F334">
        <v>0</v>
      </c>
      <c r="G334">
        <v>0</v>
      </c>
      <c r="H334">
        <f t="shared" si="20"/>
        <v>0</v>
      </c>
      <c r="I334">
        <v>0</v>
      </c>
      <c r="J334">
        <f t="shared" si="21"/>
        <v>0</v>
      </c>
      <c r="K334">
        <v>0</v>
      </c>
      <c r="L334">
        <f t="shared" si="22"/>
        <v>0</v>
      </c>
      <c r="M334">
        <v>0</v>
      </c>
      <c r="N334">
        <f t="shared" si="23"/>
        <v>0</v>
      </c>
    </row>
    <row r="335" spans="1:14" x14ac:dyDescent="0.25">
      <c r="A335">
        <f>VLOOKUP(B335,Calculations!$A$2:$B$10,2)+VLOOKUP(C335,Calculations!$C$2:$D$7,2)+VLOOKUP(D335,Calculations!$E$2:$F$6,2)+VLOOKUP(E335,Calculations!$G$2:$H$6,2)</f>
        <v>3243</v>
      </c>
      <c r="B335" t="s">
        <v>9</v>
      </c>
      <c r="C335" t="s">
        <v>17</v>
      </c>
      <c r="D335" t="s">
        <v>14</v>
      </c>
      <c r="E335" t="s">
        <v>25</v>
      </c>
      <c r="F335">
        <v>0</v>
      </c>
      <c r="G335">
        <v>0</v>
      </c>
      <c r="H335">
        <f t="shared" si="20"/>
        <v>0</v>
      </c>
      <c r="I335">
        <v>0</v>
      </c>
      <c r="J335">
        <f t="shared" si="21"/>
        <v>0</v>
      </c>
      <c r="K335">
        <v>0</v>
      </c>
      <c r="L335">
        <f t="shared" si="22"/>
        <v>0</v>
      </c>
      <c r="M335">
        <v>0</v>
      </c>
      <c r="N335">
        <f t="shared" si="23"/>
        <v>0</v>
      </c>
    </row>
    <row r="336" spans="1:14" x14ac:dyDescent="0.25">
      <c r="A336">
        <f>VLOOKUP(B336,Calculations!$A$2:$B$10,2)+VLOOKUP(C336,Calculations!$C$2:$D$7,2)+VLOOKUP(D336,Calculations!$E$2:$F$6,2)+VLOOKUP(E336,Calculations!$G$2:$H$6,2)</f>
        <v>3244</v>
      </c>
      <c r="B336" t="s">
        <v>9</v>
      </c>
      <c r="C336" t="s">
        <v>17</v>
      </c>
      <c r="D336" t="s">
        <v>15</v>
      </c>
      <c r="E336" t="s">
        <v>25</v>
      </c>
      <c r="F336">
        <v>0</v>
      </c>
      <c r="G336">
        <v>0</v>
      </c>
      <c r="H336">
        <f t="shared" si="20"/>
        <v>0</v>
      </c>
      <c r="I336">
        <v>0</v>
      </c>
      <c r="J336">
        <f t="shared" si="21"/>
        <v>0</v>
      </c>
      <c r="K336">
        <v>0</v>
      </c>
      <c r="L336">
        <f t="shared" si="22"/>
        <v>0</v>
      </c>
      <c r="M336">
        <v>0</v>
      </c>
      <c r="N336">
        <f t="shared" si="23"/>
        <v>0</v>
      </c>
    </row>
    <row r="337" spans="1:14" x14ac:dyDescent="0.25">
      <c r="A337">
        <f>VLOOKUP(B337,Calculations!$A$2:$B$10,2)+VLOOKUP(C337,Calculations!$C$2:$D$7,2)+VLOOKUP(D337,Calculations!$E$2:$F$6,2)+VLOOKUP(E337,Calculations!$G$2:$H$6,2)</f>
        <v>3251</v>
      </c>
      <c r="B337" t="s">
        <v>50</v>
      </c>
      <c r="C337" t="s">
        <v>17</v>
      </c>
      <c r="D337" t="s">
        <v>54</v>
      </c>
      <c r="E337" t="s">
        <v>25</v>
      </c>
      <c r="F337">
        <v>0</v>
      </c>
      <c r="G337">
        <v>0</v>
      </c>
      <c r="H337">
        <f t="shared" si="20"/>
        <v>0</v>
      </c>
      <c r="I337">
        <v>0</v>
      </c>
      <c r="J337">
        <f t="shared" si="21"/>
        <v>0</v>
      </c>
      <c r="K337">
        <v>0</v>
      </c>
      <c r="L337">
        <f t="shared" si="22"/>
        <v>0</v>
      </c>
      <c r="M337">
        <v>0</v>
      </c>
      <c r="N337">
        <f t="shared" si="23"/>
        <v>0</v>
      </c>
    </row>
    <row r="338" spans="1:14" x14ac:dyDescent="0.25">
      <c r="A338">
        <f>VLOOKUP(B338,Calculations!$A$2:$B$10,2)+VLOOKUP(C338,Calculations!$C$2:$D$7,2)+VLOOKUP(D338,Calculations!$E$2:$F$6,2)+VLOOKUP(E338,Calculations!$G$2:$H$6,2)</f>
        <v>3252</v>
      </c>
      <c r="B338" t="s">
        <v>50</v>
      </c>
      <c r="C338" t="s">
        <v>17</v>
      </c>
      <c r="D338" t="s">
        <v>13</v>
      </c>
      <c r="E338" t="s">
        <v>25</v>
      </c>
      <c r="F338">
        <v>0</v>
      </c>
      <c r="G338">
        <v>0</v>
      </c>
      <c r="H338">
        <f t="shared" si="20"/>
        <v>0</v>
      </c>
      <c r="I338">
        <v>0</v>
      </c>
      <c r="J338">
        <f t="shared" si="21"/>
        <v>0</v>
      </c>
      <c r="K338">
        <v>0</v>
      </c>
      <c r="L338">
        <f t="shared" si="22"/>
        <v>0</v>
      </c>
      <c r="M338">
        <v>0</v>
      </c>
      <c r="N338">
        <f t="shared" si="23"/>
        <v>0</v>
      </c>
    </row>
    <row r="339" spans="1:14" x14ac:dyDescent="0.25">
      <c r="A339">
        <f>VLOOKUP(B339,Calculations!$A$2:$B$10,2)+VLOOKUP(C339,Calculations!$C$2:$D$7,2)+VLOOKUP(D339,Calculations!$E$2:$F$6,2)+VLOOKUP(E339,Calculations!$G$2:$H$6,2)</f>
        <v>3253</v>
      </c>
      <c r="B339" t="s">
        <v>50</v>
      </c>
      <c r="C339" t="s">
        <v>17</v>
      </c>
      <c r="D339" t="s">
        <v>14</v>
      </c>
      <c r="E339" t="s">
        <v>25</v>
      </c>
      <c r="F339">
        <v>0</v>
      </c>
      <c r="G339">
        <v>0</v>
      </c>
      <c r="H339">
        <f t="shared" si="20"/>
        <v>0</v>
      </c>
      <c r="I339">
        <v>0</v>
      </c>
      <c r="J339">
        <f t="shared" si="21"/>
        <v>0</v>
      </c>
      <c r="K339">
        <v>0</v>
      </c>
      <c r="L339">
        <f t="shared" si="22"/>
        <v>0</v>
      </c>
      <c r="M339">
        <v>0</v>
      </c>
      <c r="N339">
        <f t="shared" si="23"/>
        <v>0</v>
      </c>
    </row>
    <row r="340" spans="1:14" x14ac:dyDescent="0.25">
      <c r="A340">
        <f>VLOOKUP(B340,Calculations!$A$2:$B$10,2)+VLOOKUP(C340,Calculations!$C$2:$D$7,2)+VLOOKUP(D340,Calculations!$E$2:$F$6,2)+VLOOKUP(E340,Calculations!$G$2:$H$6,2)</f>
        <v>3254</v>
      </c>
      <c r="B340" t="s">
        <v>50</v>
      </c>
      <c r="C340" t="s">
        <v>17</v>
      </c>
      <c r="D340" t="s">
        <v>15</v>
      </c>
      <c r="E340" t="s">
        <v>25</v>
      </c>
      <c r="F340">
        <v>0</v>
      </c>
      <c r="G340">
        <v>0</v>
      </c>
      <c r="H340">
        <f t="shared" si="20"/>
        <v>0</v>
      </c>
      <c r="I340">
        <v>0</v>
      </c>
      <c r="J340">
        <f t="shared" si="21"/>
        <v>0</v>
      </c>
      <c r="K340">
        <v>0</v>
      </c>
      <c r="L340">
        <f t="shared" si="22"/>
        <v>0</v>
      </c>
      <c r="M340">
        <v>0</v>
      </c>
      <c r="N340">
        <f t="shared" si="23"/>
        <v>0</v>
      </c>
    </row>
    <row r="341" spans="1:14" x14ac:dyDescent="0.25">
      <c r="A341">
        <f>VLOOKUP(B341,Calculations!$A$2:$B$10,2)+VLOOKUP(C341,Calculations!$C$2:$D$7,2)+VLOOKUP(D341,Calculations!$E$2:$F$6,2)+VLOOKUP(E341,Calculations!$G$2:$H$6,2)</f>
        <v>3261</v>
      </c>
      <c r="B341" t="s">
        <v>51</v>
      </c>
      <c r="C341" t="s">
        <v>17</v>
      </c>
      <c r="D341" t="s">
        <v>54</v>
      </c>
      <c r="E341" t="s">
        <v>25</v>
      </c>
      <c r="F341">
        <v>1</v>
      </c>
      <c r="G341">
        <v>0</v>
      </c>
      <c r="H341">
        <f t="shared" si="20"/>
        <v>0</v>
      </c>
      <c r="I341">
        <v>0</v>
      </c>
      <c r="J341">
        <f t="shared" si="21"/>
        <v>0</v>
      </c>
      <c r="K341">
        <v>1</v>
      </c>
      <c r="L341">
        <f t="shared" si="22"/>
        <v>3261</v>
      </c>
      <c r="M341">
        <v>1</v>
      </c>
      <c r="N341">
        <f t="shared" si="23"/>
        <v>3261</v>
      </c>
    </row>
    <row r="342" spans="1:14" x14ac:dyDescent="0.25">
      <c r="A342">
        <f>VLOOKUP(B342,Calculations!$A$2:$B$10,2)+VLOOKUP(C342,Calculations!$C$2:$D$7,2)+VLOOKUP(D342,Calculations!$E$2:$F$6,2)+VLOOKUP(E342,Calculations!$G$2:$H$6,2)</f>
        <v>3262</v>
      </c>
      <c r="B342" t="s">
        <v>51</v>
      </c>
      <c r="C342" t="s">
        <v>17</v>
      </c>
      <c r="D342" t="s">
        <v>13</v>
      </c>
      <c r="E342" t="s">
        <v>25</v>
      </c>
      <c r="F342">
        <v>1</v>
      </c>
      <c r="G342">
        <v>0</v>
      </c>
      <c r="H342">
        <f t="shared" si="20"/>
        <v>0</v>
      </c>
      <c r="I342">
        <v>0</v>
      </c>
      <c r="J342">
        <f t="shared" si="21"/>
        <v>0</v>
      </c>
      <c r="K342">
        <v>1</v>
      </c>
      <c r="L342">
        <f t="shared" si="22"/>
        <v>3262</v>
      </c>
      <c r="M342">
        <v>1</v>
      </c>
      <c r="N342">
        <f t="shared" si="23"/>
        <v>3262</v>
      </c>
    </row>
    <row r="343" spans="1:14" x14ac:dyDescent="0.25">
      <c r="A343">
        <f>VLOOKUP(B343,Calculations!$A$2:$B$10,2)+VLOOKUP(C343,Calculations!$C$2:$D$7,2)+VLOOKUP(D343,Calculations!$E$2:$F$6,2)+VLOOKUP(E343,Calculations!$G$2:$H$6,2)</f>
        <v>3263</v>
      </c>
      <c r="B343" t="s">
        <v>51</v>
      </c>
      <c r="C343" t="s">
        <v>17</v>
      </c>
      <c r="D343" t="s">
        <v>14</v>
      </c>
      <c r="E343" t="s">
        <v>25</v>
      </c>
      <c r="F343">
        <v>1</v>
      </c>
      <c r="G343">
        <v>0</v>
      </c>
      <c r="H343">
        <f t="shared" si="20"/>
        <v>0</v>
      </c>
      <c r="I343">
        <v>0</v>
      </c>
      <c r="J343">
        <f t="shared" si="21"/>
        <v>0</v>
      </c>
      <c r="K343">
        <v>1</v>
      </c>
      <c r="L343">
        <f t="shared" si="22"/>
        <v>3263</v>
      </c>
      <c r="M343">
        <v>1</v>
      </c>
      <c r="N343">
        <f t="shared" si="23"/>
        <v>3263</v>
      </c>
    </row>
    <row r="344" spans="1:14" x14ac:dyDescent="0.25">
      <c r="A344">
        <f>VLOOKUP(B344,Calculations!$A$2:$B$10,2)+VLOOKUP(C344,Calculations!$C$2:$D$7,2)+VLOOKUP(D344,Calculations!$E$2:$F$6,2)+VLOOKUP(E344,Calculations!$G$2:$H$6,2)</f>
        <v>3264</v>
      </c>
      <c r="B344" t="s">
        <v>51</v>
      </c>
      <c r="C344" t="s">
        <v>17</v>
      </c>
      <c r="D344" t="s">
        <v>15</v>
      </c>
      <c r="E344" t="s">
        <v>25</v>
      </c>
      <c r="F344">
        <v>1</v>
      </c>
      <c r="G344">
        <v>0</v>
      </c>
      <c r="H344">
        <f t="shared" si="20"/>
        <v>0</v>
      </c>
      <c r="I344">
        <v>0</v>
      </c>
      <c r="J344">
        <f t="shared" si="21"/>
        <v>0</v>
      </c>
      <c r="K344">
        <v>1</v>
      </c>
      <c r="L344">
        <f t="shared" si="22"/>
        <v>3264</v>
      </c>
      <c r="M344">
        <v>1</v>
      </c>
      <c r="N344">
        <f t="shared" si="23"/>
        <v>3264</v>
      </c>
    </row>
    <row r="345" spans="1:14" x14ac:dyDescent="0.25">
      <c r="A345">
        <f>VLOOKUP(B345,Calculations!$A$2:$B$10,2)+VLOOKUP(C345,Calculations!$C$2:$D$7,2)+VLOOKUP(D345,Calculations!$E$2:$F$6,2)+VLOOKUP(E345,Calculations!$G$2:$H$6,2)</f>
        <v>3271</v>
      </c>
      <c r="B345" t="s">
        <v>52</v>
      </c>
      <c r="C345" t="s">
        <v>17</v>
      </c>
      <c r="D345" t="s">
        <v>54</v>
      </c>
      <c r="E345" t="s">
        <v>25</v>
      </c>
      <c r="F345">
        <v>1</v>
      </c>
      <c r="G345">
        <v>0</v>
      </c>
      <c r="H345">
        <f t="shared" si="20"/>
        <v>0</v>
      </c>
      <c r="I345">
        <v>0</v>
      </c>
      <c r="J345">
        <f t="shared" si="21"/>
        <v>0</v>
      </c>
      <c r="K345">
        <v>1</v>
      </c>
      <c r="L345">
        <f t="shared" si="22"/>
        <v>3271</v>
      </c>
      <c r="M345">
        <v>1</v>
      </c>
      <c r="N345">
        <f t="shared" si="23"/>
        <v>3271</v>
      </c>
    </row>
    <row r="346" spans="1:14" x14ac:dyDescent="0.25">
      <c r="A346">
        <f>VLOOKUP(B346,Calculations!$A$2:$B$10,2)+VLOOKUP(C346,Calculations!$C$2:$D$7,2)+VLOOKUP(D346,Calculations!$E$2:$F$6,2)+VLOOKUP(E346,Calculations!$G$2:$H$6,2)</f>
        <v>3272</v>
      </c>
      <c r="B346" t="s">
        <v>52</v>
      </c>
      <c r="C346" t="s">
        <v>17</v>
      </c>
      <c r="D346" t="s">
        <v>13</v>
      </c>
      <c r="E346" t="s">
        <v>25</v>
      </c>
      <c r="F346">
        <v>1</v>
      </c>
      <c r="G346">
        <v>0</v>
      </c>
      <c r="H346">
        <f t="shared" si="20"/>
        <v>0</v>
      </c>
      <c r="I346">
        <v>0</v>
      </c>
      <c r="J346">
        <f t="shared" si="21"/>
        <v>0</v>
      </c>
      <c r="K346">
        <v>1</v>
      </c>
      <c r="L346">
        <f t="shared" si="22"/>
        <v>3272</v>
      </c>
      <c r="M346">
        <v>1</v>
      </c>
      <c r="N346">
        <f t="shared" si="23"/>
        <v>3272</v>
      </c>
    </row>
    <row r="347" spans="1:14" x14ac:dyDescent="0.25">
      <c r="A347">
        <f>VLOOKUP(B347,Calculations!$A$2:$B$10,2)+VLOOKUP(C347,Calculations!$C$2:$D$7,2)+VLOOKUP(D347,Calculations!$E$2:$F$6,2)+VLOOKUP(E347,Calculations!$G$2:$H$6,2)</f>
        <v>3273</v>
      </c>
      <c r="B347" t="s">
        <v>52</v>
      </c>
      <c r="C347" t="s">
        <v>17</v>
      </c>
      <c r="D347" t="s">
        <v>14</v>
      </c>
      <c r="E347" t="s">
        <v>25</v>
      </c>
      <c r="F347">
        <v>1</v>
      </c>
      <c r="G347">
        <v>0</v>
      </c>
      <c r="H347">
        <f t="shared" si="20"/>
        <v>0</v>
      </c>
      <c r="I347">
        <v>0</v>
      </c>
      <c r="J347">
        <f t="shared" si="21"/>
        <v>0</v>
      </c>
      <c r="K347">
        <v>1</v>
      </c>
      <c r="L347">
        <f t="shared" si="22"/>
        <v>3273</v>
      </c>
      <c r="M347">
        <v>1</v>
      </c>
      <c r="N347">
        <f t="shared" si="23"/>
        <v>3273</v>
      </c>
    </row>
    <row r="348" spans="1:14" x14ac:dyDescent="0.25">
      <c r="A348">
        <f>VLOOKUP(B348,Calculations!$A$2:$B$10,2)+VLOOKUP(C348,Calculations!$C$2:$D$7,2)+VLOOKUP(D348,Calculations!$E$2:$F$6,2)+VLOOKUP(E348,Calculations!$G$2:$H$6,2)</f>
        <v>3274</v>
      </c>
      <c r="B348" t="s">
        <v>52</v>
      </c>
      <c r="C348" t="s">
        <v>17</v>
      </c>
      <c r="D348" t="s">
        <v>15</v>
      </c>
      <c r="E348" t="s">
        <v>25</v>
      </c>
      <c r="F348">
        <v>1</v>
      </c>
      <c r="G348">
        <v>0</v>
      </c>
      <c r="H348">
        <f t="shared" si="20"/>
        <v>0</v>
      </c>
      <c r="I348">
        <v>0</v>
      </c>
      <c r="J348">
        <f t="shared" si="21"/>
        <v>0</v>
      </c>
      <c r="K348">
        <v>1</v>
      </c>
      <c r="L348">
        <f t="shared" si="22"/>
        <v>3274</v>
      </c>
      <c r="M348">
        <v>1</v>
      </c>
      <c r="N348">
        <f t="shared" si="23"/>
        <v>3274</v>
      </c>
    </row>
    <row r="349" spans="1:14" x14ac:dyDescent="0.25">
      <c r="A349">
        <f>VLOOKUP(B349,Calculations!$A$2:$B$10,2)+VLOOKUP(C349,Calculations!$C$2:$D$7,2)+VLOOKUP(D349,Calculations!$E$2:$F$6,2)+VLOOKUP(E349,Calculations!$G$2:$H$6,2)</f>
        <v>3281</v>
      </c>
      <c r="B349" t="s">
        <v>8</v>
      </c>
      <c r="C349" t="s">
        <v>17</v>
      </c>
      <c r="D349" t="s">
        <v>54</v>
      </c>
      <c r="E349" t="s">
        <v>25</v>
      </c>
      <c r="F349">
        <v>0</v>
      </c>
      <c r="G349">
        <v>0</v>
      </c>
      <c r="H349">
        <f t="shared" si="20"/>
        <v>0</v>
      </c>
      <c r="I349">
        <v>0</v>
      </c>
      <c r="J349">
        <f t="shared" si="21"/>
        <v>0</v>
      </c>
      <c r="K349">
        <v>0</v>
      </c>
      <c r="L349">
        <f t="shared" si="22"/>
        <v>0</v>
      </c>
      <c r="M349">
        <v>0</v>
      </c>
      <c r="N349">
        <f t="shared" si="23"/>
        <v>0</v>
      </c>
    </row>
    <row r="350" spans="1:14" x14ac:dyDescent="0.25">
      <c r="A350">
        <f>VLOOKUP(B350,Calculations!$A$2:$B$10,2)+VLOOKUP(C350,Calculations!$C$2:$D$7,2)+VLOOKUP(D350,Calculations!$E$2:$F$6,2)+VLOOKUP(E350,Calculations!$G$2:$H$6,2)</f>
        <v>3282</v>
      </c>
      <c r="B350" t="s">
        <v>8</v>
      </c>
      <c r="C350" t="s">
        <v>17</v>
      </c>
      <c r="D350" t="s">
        <v>13</v>
      </c>
      <c r="E350" t="s">
        <v>25</v>
      </c>
      <c r="F350">
        <v>0</v>
      </c>
      <c r="G350">
        <v>0</v>
      </c>
      <c r="H350">
        <f t="shared" si="20"/>
        <v>0</v>
      </c>
      <c r="I350">
        <v>0</v>
      </c>
      <c r="J350">
        <f t="shared" si="21"/>
        <v>0</v>
      </c>
      <c r="K350">
        <v>0</v>
      </c>
      <c r="L350">
        <f t="shared" si="22"/>
        <v>0</v>
      </c>
      <c r="M350">
        <v>0</v>
      </c>
      <c r="N350">
        <f t="shared" si="23"/>
        <v>0</v>
      </c>
    </row>
    <row r="351" spans="1:14" x14ac:dyDescent="0.25">
      <c r="A351">
        <f>VLOOKUP(B351,Calculations!$A$2:$B$10,2)+VLOOKUP(C351,Calculations!$C$2:$D$7,2)+VLOOKUP(D351,Calculations!$E$2:$F$6,2)+VLOOKUP(E351,Calculations!$G$2:$H$6,2)</f>
        <v>3283</v>
      </c>
      <c r="B351" t="s">
        <v>8</v>
      </c>
      <c r="C351" t="s">
        <v>17</v>
      </c>
      <c r="D351" t="s">
        <v>14</v>
      </c>
      <c r="E351" t="s">
        <v>25</v>
      </c>
      <c r="F351">
        <v>0</v>
      </c>
      <c r="G351">
        <v>0</v>
      </c>
      <c r="H351">
        <f t="shared" si="20"/>
        <v>0</v>
      </c>
      <c r="I351">
        <v>0</v>
      </c>
      <c r="J351">
        <f t="shared" si="21"/>
        <v>0</v>
      </c>
      <c r="K351">
        <v>0</v>
      </c>
      <c r="L351">
        <f t="shared" si="22"/>
        <v>0</v>
      </c>
      <c r="M351">
        <v>0</v>
      </c>
      <c r="N351">
        <f t="shared" si="23"/>
        <v>0</v>
      </c>
    </row>
    <row r="352" spans="1:14" x14ac:dyDescent="0.25">
      <c r="A352">
        <f>VLOOKUP(B352,Calculations!$A$2:$B$10,2)+VLOOKUP(C352,Calculations!$C$2:$D$7,2)+VLOOKUP(D352,Calculations!$E$2:$F$6,2)+VLOOKUP(E352,Calculations!$G$2:$H$6,2)</f>
        <v>3284</v>
      </c>
      <c r="B352" t="s">
        <v>8</v>
      </c>
      <c r="C352" t="s">
        <v>17</v>
      </c>
      <c r="D352" t="s">
        <v>15</v>
      </c>
      <c r="E352" t="s">
        <v>25</v>
      </c>
      <c r="F352">
        <v>0</v>
      </c>
      <c r="G352">
        <v>0</v>
      </c>
      <c r="H352">
        <f t="shared" si="20"/>
        <v>0</v>
      </c>
      <c r="I352">
        <v>0</v>
      </c>
      <c r="J352">
        <f t="shared" si="21"/>
        <v>0</v>
      </c>
      <c r="K352">
        <v>0</v>
      </c>
      <c r="L352">
        <f t="shared" si="22"/>
        <v>0</v>
      </c>
      <c r="M352">
        <v>0</v>
      </c>
      <c r="N352">
        <f t="shared" si="23"/>
        <v>0</v>
      </c>
    </row>
    <row r="353" spans="1:14" x14ac:dyDescent="0.25">
      <c r="A353">
        <f>VLOOKUP(B353,Calculations!$A$2:$B$10,2)+VLOOKUP(C353,Calculations!$C$2:$D$7,2)+VLOOKUP(D353,Calculations!$E$2:$F$6,2)+VLOOKUP(E353,Calculations!$G$2:$H$6,2)</f>
        <v>3301</v>
      </c>
      <c r="B353" t="s">
        <v>5</v>
      </c>
      <c r="C353" t="s">
        <v>17</v>
      </c>
      <c r="D353" t="s">
        <v>54</v>
      </c>
      <c r="E353" t="s">
        <v>26</v>
      </c>
      <c r="F353">
        <v>1</v>
      </c>
      <c r="G353">
        <v>0</v>
      </c>
      <c r="H353">
        <f t="shared" si="20"/>
        <v>0</v>
      </c>
      <c r="I353">
        <v>1</v>
      </c>
      <c r="J353">
        <f t="shared" si="21"/>
        <v>3301</v>
      </c>
      <c r="K353">
        <v>1</v>
      </c>
      <c r="L353">
        <f t="shared" si="22"/>
        <v>3301</v>
      </c>
      <c r="M353">
        <v>1</v>
      </c>
      <c r="N353">
        <f t="shared" si="23"/>
        <v>3301</v>
      </c>
    </row>
    <row r="354" spans="1:14" x14ac:dyDescent="0.25">
      <c r="A354">
        <f>VLOOKUP(B354,Calculations!$A$2:$B$10,2)+VLOOKUP(C354,Calculations!$C$2:$D$7,2)+VLOOKUP(D354,Calculations!$E$2:$F$6,2)+VLOOKUP(E354,Calculations!$G$2:$H$6,2)</f>
        <v>3302</v>
      </c>
      <c r="B354" t="s">
        <v>5</v>
      </c>
      <c r="C354" t="s">
        <v>17</v>
      </c>
      <c r="D354" t="s">
        <v>13</v>
      </c>
      <c r="E354" t="s">
        <v>26</v>
      </c>
      <c r="F354">
        <v>1</v>
      </c>
      <c r="G354">
        <v>0</v>
      </c>
      <c r="H354">
        <f t="shared" si="20"/>
        <v>0</v>
      </c>
      <c r="I354">
        <v>1</v>
      </c>
      <c r="J354">
        <f t="shared" si="21"/>
        <v>3302</v>
      </c>
      <c r="K354">
        <v>1</v>
      </c>
      <c r="L354">
        <f t="shared" si="22"/>
        <v>3302</v>
      </c>
      <c r="M354">
        <v>1</v>
      </c>
      <c r="N354">
        <f t="shared" si="23"/>
        <v>3302</v>
      </c>
    </row>
    <row r="355" spans="1:14" x14ac:dyDescent="0.25">
      <c r="A355">
        <f>VLOOKUP(B355,Calculations!$A$2:$B$10,2)+VLOOKUP(C355,Calculations!$C$2:$D$7,2)+VLOOKUP(D355,Calculations!$E$2:$F$6,2)+VLOOKUP(E355,Calculations!$G$2:$H$6,2)</f>
        <v>3303</v>
      </c>
      <c r="B355" t="s">
        <v>5</v>
      </c>
      <c r="C355" t="s">
        <v>17</v>
      </c>
      <c r="D355" t="s">
        <v>14</v>
      </c>
      <c r="E355" t="s">
        <v>26</v>
      </c>
      <c r="F355">
        <v>1</v>
      </c>
      <c r="G355">
        <v>0</v>
      </c>
      <c r="H355">
        <f t="shared" si="20"/>
        <v>0</v>
      </c>
      <c r="I355">
        <v>1</v>
      </c>
      <c r="J355">
        <f t="shared" si="21"/>
        <v>3303</v>
      </c>
      <c r="K355">
        <v>1</v>
      </c>
      <c r="L355">
        <f t="shared" si="22"/>
        <v>3303</v>
      </c>
      <c r="M355">
        <v>0</v>
      </c>
      <c r="N355">
        <f t="shared" si="23"/>
        <v>0</v>
      </c>
    </row>
    <row r="356" spans="1:14" x14ac:dyDescent="0.25">
      <c r="A356">
        <f>VLOOKUP(B356,Calculations!$A$2:$B$10,2)+VLOOKUP(C356,Calculations!$C$2:$D$7,2)+VLOOKUP(D356,Calculations!$E$2:$F$6,2)+VLOOKUP(E356,Calculations!$G$2:$H$6,2)</f>
        <v>3304</v>
      </c>
      <c r="B356" t="s">
        <v>5</v>
      </c>
      <c r="C356" t="s">
        <v>17</v>
      </c>
      <c r="D356" t="s">
        <v>15</v>
      </c>
      <c r="E356" t="s">
        <v>26</v>
      </c>
      <c r="F356">
        <v>0</v>
      </c>
      <c r="G356">
        <v>0</v>
      </c>
      <c r="H356">
        <f t="shared" si="20"/>
        <v>0</v>
      </c>
      <c r="I356">
        <v>0</v>
      </c>
      <c r="J356">
        <f t="shared" si="21"/>
        <v>0</v>
      </c>
      <c r="K356">
        <v>0</v>
      </c>
      <c r="L356">
        <f t="shared" si="22"/>
        <v>0</v>
      </c>
      <c r="M356">
        <v>0</v>
      </c>
      <c r="N356">
        <f t="shared" si="23"/>
        <v>0</v>
      </c>
    </row>
    <row r="357" spans="1:14" x14ac:dyDescent="0.25">
      <c r="A357">
        <f>VLOOKUP(B357,Calculations!$A$2:$B$10,2)+VLOOKUP(C357,Calculations!$C$2:$D$7,2)+VLOOKUP(D357,Calculations!$E$2:$F$6,2)+VLOOKUP(E357,Calculations!$G$2:$H$6,2)</f>
        <v>3311</v>
      </c>
      <c r="B357" t="s">
        <v>6</v>
      </c>
      <c r="C357" t="s">
        <v>17</v>
      </c>
      <c r="D357" t="s">
        <v>54</v>
      </c>
      <c r="E357" t="s">
        <v>26</v>
      </c>
      <c r="F357">
        <v>1</v>
      </c>
      <c r="G357">
        <v>0</v>
      </c>
      <c r="H357">
        <f t="shared" si="20"/>
        <v>0</v>
      </c>
      <c r="I357">
        <v>1</v>
      </c>
      <c r="J357">
        <f t="shared" si="21"/>
        <v>3311</v>
      </c>
      <c r="K357">
        <v>1</v>
      </c>
      <c r="L357">
        <f t="shared" si="22"/>
        <v>3311</v>
      </c>
      <c r="M357">
        <v>1</v>
      </c>
      <c r="N357">
        <f t="shared" si="23"/>
        <v>3311</v>
      </c>
    </row>
    <row r="358" spans="1:14" x14ac:dyDescent="0.25">
      <c r="A358">
        <f>VLOOKUP(B358,Calculations!$A$2:$B$10,2)+VLOOKUP(C358,Calculations!$C$2:$D$7,2)+VLOOKUP(D358,Calculations!$E$2:$F$6,2)+VLOOKUP(E358,Calculations!$G$2:$H$6,2)</f>
        <v>3312</v>
      </c>
      <c r="B358" t="s">
        <v>6</v>
      </c>
      <c r="C358" t="s">
        <v>17</v>
      </c>
      <c r="D358" t="s">
        <v>13</v>
      </c>
      <c r="E358" t="s">
        <v>26</v>
      </c>
      <c r="F358">
        <v>1</v>
      </c>
      <c r="G358">
        <v>0</v>
      </c>
      <c r="H358">
        <f t="shared" si="20"/>
        <v>0</v>
      </c>
      <c r="I358">
        <v>1</v>
      </c>
      <c r="J358">
        <f t="shared" si="21"/>
        <v>3312</v>
      </c>
      <c r="K358">
        <v>1</v>
      </c>
      <c r="L358">
        <f t="shared" si="22"/>
        <v>3312</v>
      </c>
      <c r="M358">
        <v>1</v>
      </c>
      <c r="N358">
        <f t="shared" si="23"/>
        <v>3312</v>
      </c>
    </row>
    <row r="359" spans="1:14" x14ac:dyDescent="0.25">
      <c r="A359">
        <f>VLOOKUP(B359,Calculations!$A$2:$B$10,2)+VLOOKUP(C359,Calculations!$C$2:$D$7,2)+VLOOKUP(D359,Calculations!$E$2:$F$6,2)+VLOOKUP(E359,Calculations!$G$2:$H$6,2)</f>
        <v>3313</v>
      </c>
      <c r="B359" t="s">
        <v>6</v>
      </c>
      <c r="C359" t="s">
        <v>17</v>
      </c>
      <c r="D359" t="s">
        <v>14</v>
      </c>
      <c r="E359" t="s">
        <v>26</v>
      </c>
      <c r="F359">
        <v>1</v>
      </c>
      <c r="G359">
        <v>0</v>
      </c>
      <c r="H359">
        <f t="shared" si="20"/>
        <v>0</v>
      </c>
      <c r="I359">
        <v>1</v>
      </c>
      <c r="J359">
        <f t="shared" si="21"/>
        <v>3313</v>
      </c>
      <c r="K359">
        <v>1</v>
      </c>
      <c r="L359">
        <f t="shared" si="22"/>
        <v>3313</v>
      </c>
      <c r="M359">
        <v>0</v>
      </c>
      <c r="N359">
        <f t="shared" si="23"/>
        <v>0</v>
      </c>
    </row>
    <row r="360" spans="1:14" x14ac:dyDescent="0.25">
      <c r="A360">
        <f>VLOOKUP(B360,Calculations!$A$2:$B$10,2)+VLOOKUP(C360,Calculations!$C$2:$D$7,2)+VLOOKUP(D360,Calculations!$E$2:$F$6,2)+VLOOKUP(E360,Calculations!$G$2:$H$6,2)</f>
        <v>3314</v>
      </c>
      <c r="B360" t="s">
        <v>6</v>
      </c>
      <c r="C360" t="s">
        <v>17</v>
      </c>
      <c r="D360" t="s">
        <v>15</v>
      </c>
      <c r="E360" t="s">
        <v>26</v>
      </c>
      <c r="F360">
        <v>0</v>
      </c>
      <c r="G360">
        <v>0</v>
      </c>
      <c r="H360">
        <f t="shared" si="20"/>
        <v>0</v>
      </c>
      <c r="I360">
        <v>0</v>
      </c>
      <c r="J360">
        <f t="shared" si="21"/>
        <v>0</v>
      </c>
      <c r="K360">
        <v>0</v>
      </c>
      <c r="L360">
        <f t="shared" si="22"/>
        <v>0</v>
      </c>
      <c r="M360">
        <v>0</v>
      </c>
      <c r="N360">
        <f t="shared" si="23"/>
        <v>0</v>
      </c>
    </row>
    <row r="361" spans="1:14" x14ac:dyDescent="0.25">
      <c r="A361">
        <f>VLOOKUP(B361,Calculations!$A$2:$B$10,2)+VLOOKUP(C361,Calculations!$C$2:$D$7,2)+VLOOKUP(D361,Calculations!$E$2:$F$6,2)+VLOOKUP(E361,Calculations!$G$2:$H$6,2)</f>
        <v>3321</v>
      </c>
      <c r="B361" t="s">
        <v>7</v>
      </c>
      <c r="C361" t="s">
        <v>17</v>
      </c>
      <c r="D361" t="s">
        <v>54</v>
      </c>
      <c r="E361" t="s">
        <v>26</v>
      </c>
      <c r="F361">
        <v>1</v>
      </c>
      <c r="G361">
        <v>0</v>
      </c>
      <c r="H361">
        <f t="shared" si="20"/>
        <v>0</v>
      </c>
      <c r="I361">
        <v>1</v>
      </c>
      <c r="J361">
        <f t="shared" si="21"/>
        <v>3321</v>
      </c>
      <c r="K361">
        <v>1</v>
      </c>
      <c r="L361">
        <f t="shared" si="22"/>
        <v>3321</v>
      </c>
      <c r="M361">
        <v>1</v>
      </c>
      <c r="N361">
        <f t="shared" si="23"/>
        <v>3321</v>
      </c>
    </row>
    <row r="362" spans="1:14" x14ac:dyDescent="0.25">
      <c r="A362">
        <f>VLOOKUP(B362,Calculations!$A$2:$B$10,2)+VLOOKUP(C362,Calculations!$C$2:$D$7,2)+VLOOKUP(D362,Calculations!$E$2:$F$6,2)+VLOOKUP(E362,Calculations!$G$2:$H$6,2)</f>
        <v>3322</v>
      </c>
      <c r="B362" t="s">
        <v>7</v>
      </c>
      <c r="C362" t="s">
        <v>17</v>
      </c>
      <c r="D362" t="s">
        <v>13</v>
      </c>
      <c r="E362" t="s">
        <v>26</v>
      </c>
      <c r="F362">
        <v>1</v>
      </c>
      <c r="G362">
        <v>0</v>
      </c>
      <c r="H362">
        <f t="shared" si="20"/>
        <v>0</v>
      </c>
      <c r="I362">
        <v>1</v>
      </c>
      <c r="J362">
        <f t="shared" si="21"/>
        <v>3322</v>
      </c>
      <c r="K362">
        <v>1</v>
      </c>
      <c r="L362">
        <f t="shared" si="22"/>
        <v>3322</v>
      </c>
      <c r="M362">
        <v>1</v>
      </c>
      <c r="N362">
        <f t="shared" si="23"/>
        <v>3322</v>
      </c>
    </row>
    <row r="363" spans="1:14" x14ac:dyDescent="0.25">
      <c r="A363">
        <f>VLOOKUP(B363,Calculations!$A$2:$B$10,2)+VLOOKUP(C363,Calculations!$C$2:$D$7,2)+VLOOKUP(D363,Calculations!$E$2:$F$6,2)+VLOOKUP(E363,Calculations!$G$2:$H$6,2)</f>
        <v>3323</v>
      </c>
      <c r="B363" t="s">
        <v>7</v>
      </c>
      <c r="C363" t="s">
        <v>17</v>
      </c>
      <c r="D363" t="s">
        <v>14</v>
      </c>
      <c r="E363" t="s">
        <v>26</v>
      </c>
      <c r="F363">
        <v>1</v>
      </c>
      <c r="G363">
        <v>0</v>
      </c>
      <c r="H363">
        <f t="shared" si="20"/>
        <v>0</v>
      </c>
      <c r="I363">
        <v>1</v>
      </c>
      <c r="J363">
        <f t="shared" si="21"/>
        <v>3323</v>
      </c>
      <c r="K363">
        <v>1</v>
      </c>
      <c r="L363">
        <f t="shared" si="22"/>
        <v>3323</v>
      </c>
      <c r="M363">
        <v>0</v>
      </c>
      <c r="N363">
        <f t="shared" si="23"/>
        <v>0</v>
      </c>
    </row>
    <row r="364" spans="1:14" x14ac:dyDescent="0.25">
      <c r="A364">
        <f>VLOOKUP(B364,Calculations!$A$2:$B$10,2)+VLOOKUP(C364,Calculations!$C$2:$D$7,2)+VLOOKUP(D364,Calculations!$E$2:$F$6,2)+VLOOKUP(E364,Calculations!$G$2:$H$6,2)</f>
        <v>3324</v>
      </c>
      <c r="B364" t="s">
        <v>7</v>
      </c>
      <c r="C364" t="s">
        <v>17</v>
      </c>
      <c r="D364" t="s">
        <v>15</v>
      </c>
      <c r="E364" t="s">
        <v>26</v>
      </c>
      <c r="F364">
        <v>1</v>
      </c>
      <c r="G364">
        <v>0</v>
      </c>
      <c r="H364">
        <f t="shared" si="20"/>
        <v>0</v>
      </c>
      <c r="I364">
        <v>1</v>
      </c>
      <c r="J364">
        <f t="shared" si="21"/>
        <v>3324</v>
      </c>
      <c r="K364">
        <v>1</v>
      </c>
      <c r="L364">
        <f t="shared" si="22"/>
        <v>3324</v>
      </c>
      <c r="M364">
        <v>0</v>
      </c>
      <c r="N364">
        <f t="shared" si="23"/>
        <v>0</v>
      </c>
    </row>
    <row r="365" spans="1:14" x14ac:dyDescent="0.25">
      <c r="A365">
        <f>VLOOKUP(B365,Calculations!$A$2:$B$10,2)+VLOOKUP(C365,Calculations!$C$2:$D$7,2)+VLOOKUP(D365,Calculations!$E$2:$F$6,2)+VLOOKUP(E365,Calculations!$G$2:$H$6,2)</f>
        <v>3331</v>
      </c>
      <c r="B365" t="s">
        <v>53</v>
      </c>
      <c r="C365" t="s">
        <v>17</v>
      </c>
      <c r="D365" t="s">
        <v>54</v>
      </c>
      <c r="E365" t="s">
        <v>26</v>
      </c>
      <c r="F365">
        <v>1</v>
      </c>
      <c r="G365">
        <v>0</v>
      </c>
      <c r="H365">
        <f t="shared" si="20"/>
        <v>0</v>
      </c>
      <c r="I365">
        <v>1</v>
      </c>
      <c r="J365">
        <f t="shared" si="21"/>
        <v>3331</v>
      </c>
      <c r="K365">
        <v>1</v>
      </c>
      <c r="L365">
        <f t="shared" si="22"/>
        <v>3331</v>
      </c>
      <c r="M365">
        <v>1</v>
      </c>
      <c r="N365">
        <f t="shared" si="23"/>
        <v>3331</v>
      </c>
    </row>
    <row r="366" spans="1:14" x14ac:dyDescent="0.25">
      <c r="A366">
        <f>VLOOKUP(B366,Calculations!$A$2:$B$10,2)+VLOOKUP(C366,Calculations!$C$2:$D$7,2)+VLOOKUP(D366,Calculations!$E$2:$F$6,2)+VLOOKUP(E366,Calculations!$G$2:$H$6,2)</f>
        <v>3332</v>
      </c>
      <c r="B366" t="s">
        <v>53</v>
      </c>
      <c r="C366" t="s">
        <v>17</v>
      </c>
      <c r="D366" t="s">
        <v>13</v>
      </c>
      <c r="E366" t="s">
        <v>26</v>
      </c>
      <c r="F366">
        <v>1</v>
      </c>
      <c r="G366">
        <v>0</v>
      </c>
      <c r="H366">
        <f t="shared" si="20"/>
        <v>0</v>
      </c>
      <c r="I366">
        <v>1</v>
      </c>
      <c r="J366">
        <f t="shared" si="21"/>
        <v>3332</v>
      </c>
      <c r="K366">
        <v>1</v>
      </c>
      <c r="L366">
        <f t="shared" si="22"/>
        <v>3332</v>
      </c>
      <c r="M366">
        <v>1</v>
      </c>
      <c r="N366">
        <f t="shared" si="23"/>
        <v>3332</v>
      </c>
    </row>
    <row r="367" spans="1:14" x14ac:dyDescent="0.25">
      <c r="A367">
        <f>VLOOKUP(B367,Calculations!$A$2:$B$10,2)+VLOOKUP(C367,Calculations!$C$2:$D$7,2)+VLOOKUP(D367,Calculations!$E$2:$F$6,2)+VLOOKUP(E367,Calculations!$G$2:$H$6,2)</f>
        <v>3333</v>
      </c>
      <c r="B367" t="s">
        <v>53</v>
      </c>
      <c r="C367" t="s">
        <v>17</v>
      </c>
      <c r="D367" t="s">
        <v>14</v>
      </c>
      <c r="E367" t="s">
        <v>26</v>
      </c>
      <c r="F367">
        <v>1</v>
      </c>
      <c r="G367">
        <v>0</v>
      </c>
      <c r="H367">
        <f t="shared" si="20"/>
        <v>0</v>
      </c>
      <c r="I367">
        <v>1</v>
      </c>
      <c r="J367">
        <f t="shared" si="21"/>
        <v>3333</v>
      </c>
      <c r="K367">
        <v>1</v>
      </c>
      <c r="L367">
        <f t="shared" si="22"/>
        <v>3333</v>
      </c>
      <c r="M367">
        <v>0</v>
      </c>
      <c r="N367">
        <f t="shared" si="23"/>
        <v>0</v>
      </c>
    </row>
    <row r="368" spans="1:14" x14ac:dyDescent="0.25">
      <c r="A368">
        <f>VLOOKUP(B368,Calculations!$A$2:$B$10,2)+VLOOKUP(C368,Calculations!$C$2:$D$7,2)+VLOOKUP(D368,Calculations!$E$2:$F$6,2)+VLOOKUP(E368,Calculations!$G$2:$H$6,2)</f>
        <v>3334</v>
      </c>
      <c r="B368" t="s">
        <v>53</v>
      </c>
      <c r="C368" t="s">
        <v>17</v>
      </c>
      <c r="D368" t="s">
        <v>15</v>
      </c>
      <c r="E368" t="s">
        <v>26</v>
      </c>
      <c r="F368">
        <v>1</v>
      </c>
      <c r="G368">
        <v>0</v>
      </c>
      <c r="H368">
        <f t="shared" si="20"/>
        <v>0</v>
      </c>
      <c r="I368">
        <v>1</v>
      </c>
      <c r="J368">
        <f t="shared" si="21"/>
        <v>3334</v>
      </c>
      <c r="K368">
        <v>1</v>
      </c>
      <c r="L368">
        <f t="shared" si="22"/>
        <v>3334</v>
      </c>
      <c r="M368">
        <v>0</v>
      </c>
      <c r="N368">
        <f t="shared" si="23"/>
        <v>0</v>
      </c>
    </row>
    <row r="369" spans="1:14" x14ac:dyDescent="0.25">
      <c r="A369">
        <f>VLOOKUP(B369,Calculations!$A$2:$B$10,2)+VLOOKUP(C369,Calculations!$C$2:$D$7,2)+VLOOKUP(D369,Calculations!$E$2:$F$6,2)+VLOOKUP(E369,Calculations!$G$2:$H$6,2)</f>
        <v>3341</v>
      </c>
      <c r="B369" t="s">
        <v>9</v>
      </c>
      <c r="C369" t="s">
        <v>17</v>
      </c>
      <c r="D369" t="s">
        <v>54</v>
      </c>
      <c r="E369" t="s">
        <v>26</v>
      </c>
      <c r="F369">
        <v>1</v>
      </c>
      <c r="G369">
        <v>0</v>
      </c>
      <c r="H369">
        <f t="shared" si="20"/>
        <v>0</v>
      </c>
      <c r="I369">
        <v>1</v>
      </c>
      <c r="J369">
        <f t="shared" si="21"/>
        <v>3341</v>
      </c>
      <c r="K369">
        <v>1</v>
      </c>
      <c r="L369">
        <f t="shared" si="22"/>
        <v>3341</v>
      </c>
      <c r="M369">
        <v>1</v>
      </c>
      <c r="N369">
        <f t="shared" si="23"/>
        <v>3341</v>
      </c>
    </row>
    <row r="370" spans="1:14" x14ac:dyDescent="0.25">
      <c r="A370">
        <f>VLOOKUP(B370,Calculations!$A$2:$B$10,2)+VLOOKUP(C370,Calculations!$C$2:$D$7,2)+VLOOKUP(D370,Calculations!$E$2:$F$6,2)+VLOOKUP(E370,Calculations!$G$2:$H$6,2)</f>
        <v>3342</v>
      </c>
      <c r="B370" t="s">
        <v>9</v>
      </c>
      <c r="C370" t="s">
        <v>17</v>
      </c>
      <c r="D370" t="s">
        <v>13</v>
      </c>
      <c r="E370" t="s">
        <v>26</v>
      </c>
      <c r="F370">
        <v>0</v>
      </c>
      <c r="G370">
        <v>0</v>
      </c>
      <c r="H370">
        <f t="shared" si="20"/>
        <v>0</v>
      </c>
      <c r="I370">
        <v>0</v>
      </c>
      <c r="J370">
        <f t="shared" si="21"/>
        <v>0</v>
      </c>
      <c r="K370">
        <v>0</v>
      </c>
      <c r="L370">
        <f t="shared" si="22"/>
        <v>0</v>
      </c>
      <c r="M370">
        <v>0</v>
      </c>
      <c r="N370">
        <f t="shared" si="23"/>
        <v>0</v>
      </c>
    </row>
    <row r="371" spans="1:14" x14ac:dyDescent="0.25">
      <c r="A371">
        <f>VLOOKUP(B371,Calculations!$A$2:$B$10,2)+VLOOKUP(C371,Calculations!$C$2:$D$7,2)+VLOOKUP(D371,Calculations!$E$2:$F$6,2)+VLOOKUP(E371,Calculations!$G$2:$H$6,2)</f>
        <v>3343</v>
      </c>
      <c r="B371" t="s">
        <v>9</v>
      </c>
      <c r="C371" t="s">
        <v>17</v>
      </c>
      <c r="D371" t="s">
        <v>14</v>
      </c>
      <c r="E371" t="s">
        <v>26</v>
      </c>
      <c r="F371">
        <v>0</v>
      </c>
      <c r="G371">
        <v>0</v>
      </c>
      <c r="H371">
        <f t="shared" si="20"/>
        <v>0</v>
      </c>
      <c r="I371">
        <v>0</v>
      </c>
      <c r="J371">
        <f t="shared" si="21"/>
        <v>0</v>
      </c>
      <c r="K371">
        <v>0</v>
      </c>
      <c r="L371">
        <f t="shared" si="22"/>
        <v>0</v>
      </c>
      <c r="M371">
        <v>0</v>
      </c>
      <c r="N371">
        <f t="shared" si="23"/>
        <v>0</v>
      </c>
    </row>
    <row r="372" spans="1:14" x14ac:dyDescent="0.25">
      <c r="A372">
        <f>VLOOKUP(B372,Calculations!$A$2:$B$10,2)+VLOOKUP(C372,Calculations!$C$2:$D$7,2)+VLOOKUP(D372,Calculations!$E$2:$F$6,2)+VLOOKUP(E372,Calculations!$G$2:$H$6,2)</f>
        <v>3344</v>
      </c>
      <c r="B372" t="s">
        <v>9</v>
      </c>
      <c r="C372" t="s">
        <v>17</v>
      </c>
      <c r="D372" t="s">
        <v>15</v>
      </c>
      <c r="E372" t="s">
        <v>26</v>
      </c>
      <c r="F372">
        <v>0</v>
      </c>
      <c r="G372">
        <v>0</v>
      </c>
      <c r="H372">
        <f t="shared" si="20"/>
        <v>0</v>
      </c>
      <c r="I372">
        <v>0</v>
      </c>
      <c r="J372">
        <f t="shared" si="21"/>
        <v>0</v>
      </c>
      <c r="K372">
        <v>0</v>
      </c>
      <c r="L372">
        <f t="shared" si="22"/>
        <v>0</v>
      </c>
      <c r="M372">
        <v>0</v>
      </c>
      <c r="N372">
        <f t="shared" si="23"/>
        <v>0</v>
      </c>
    </row>
    <row r="373" spans="1:14" x14ac:dyDescent="0.25">
      <c r="A373">
        <f>VLOOKUP(B373,Calculations!$A$2:$B$10,2)+VLOOKUP(C373,Calculations!$C$2:$D$7,2)+VLOOKUP(D373,Calculations!$E$2:$F$6,2)+VLOOKUP(E373,Calculations!$G$2:$H$6,2)</f>
        <v>3351</v>
      </c>
      <c r="B373" t="s">
        <v>50</v>
      </c>
      <c r="C373" t="s">
        <v>17</v>
      </c>
      <c r="D373" t="s">
        <v>54</v>
      </c>
      <c r="E373" t="s">
        <v>26</v>
      </c>
      <c r="F373">
        <v>0</v>
      </c>
      <c r="G373">
        <v>0</v>
      </c>
      <c r="H373">
        <f t="shared" si="20"/>
        <v>0</v>
      </c>
      <c r="I373">
        <v>0</v>
      </c>
      <c r="J373">
        <f t="shared" si="21"/>
        <v>0</v>
      </c>
      <c r="K373">
        <v>0</v>
      </c>
      <c r="L373">
        <f t="shared" si="22"/>
        <v>0</v>
      </c>
      <c r="M373">
        <v>0</v>
      </c>
      <c r="N373">
        <f t="shared" si="23"/>
        <v>0</v>
      </c>
    </row>
    <row r="374" spans="1:14" x14ac:dyDescent="0.25">
      <c r="A374">
        <f>VLOOKUP(B374,Calculations!$A$2:$B$10,2)+VLOOKUP(C374,Calculations!$C$2:$D$7,2)+VLOOKUP(D374,Calculations!$E$2:$F$6,2)+VLOOKUP(E374,Calculations!$G$2:$H$6,2)</f>
        <v>3352</v>
      </c>
      <c r="B374" t="s">
        <v>50</v>
      </c>
      <c r="C374" t="s">
        <v>17</v>
      </c>
      <c r="D374" t="s">
        <v>13</v>
      </c>
      <c r="E374" t="s">
        <v>26</v>
      </c>
      <c r="F374">
        <v>0</v>
      </c>
      <c r="G374">
        <v>0</v>
      </c>
      <c r="H374">
        <f t="shared" si="20"/>
        <v>0</v>
      </c>
      <c r="I374">
        <v>0</v>
      </c>
      <c r="J374">
        <f t="shared" si="21"/>
        <v>0</v>
      </c>
      <c r="K374">
        <v>0</v>
      </c>
      <c r="L374">
        <f t="shared" si="22"/>
        <v>0</v>
      </c>
      <c r="M374">
        <v>0</v>
      </c>
      <c r="N374">
        <f t="shared" si="23"/>
        <v>0</v>
      </c>
    </row>
    <row r="375" spans="1:14" x14ac:dyDescent="0.25">
      <c r="A375">
        <f>VLOOKUP(B375,Calculations!$A$2:$B$10,2)+VLOOKUP(C375,Calculations!$C$2:$D$7,2)+VLOOKUP(D375,Calculations!$E$2:$F$6,2)+VLOOKUP(E375,Calculations!$G$2:$H$6,2)</f>
        <v>3353</v>
      </c>
      <c r="B375" t="s">
        <v>50</v>
      </c>
      <c r="C375" t="s">
        <v>17</v>
      </c>
      <c r="D375" t="s">
        <v>14</v>
      </c>
      <c r="E375" t="s">
        <v>26</v>
      </c>
      <c r="F375">
        <v>0</v>
      </c>
      <c r="G375">
        <v>0</v>
      </c>
      <c r="H375">
        <f t="shared" si="20"/>
        <v>0</v>
      </c>
      <c r="I375">
        <v>0</v>
      </c>
      <c r="J375">
        <f t="shared" si="21"/>
        <v>0</v>
      </c>
      <c r="K375">
        <v>0</v>
      </c>
      <c r="L375">
        <f t="shared" si="22"/>
        <v>0</v>
      </c>
      <c r="M375">
        <v>0</v>
      </c>
      <c r="N375">
        <f t="shared" si="23"/>
        <v>0</v>
      </c>
    </row>
    <row r="376" spans="1:14" x14ac:dyDescent="0.25">
      <c r="A376">
        <f>VLOOKUP(B376,Calculations!$A$2:$B$10,2)+VLOOKUP(C376,Calculations!$C$2:$D$7,2)+VLOOKUP(D376,Calculations!$E$2:$F$6,2)+VLOOKUP(E376,Calculations!$G$2:$H$6,2)</f>
        <v>3354</v>
      </c>
      <c r="B376" t="s">
        <v>50</v>
      </c>
      <c r="C376" t="s">
        <v>17</v>
      </c>
      <c r="D376" t="s">
        <v>15</v>
      </c>
      <c r="E376" t="s">
        <v>26</v>
      </c>
      <c r="F376">
        <v>0</v>
      </c>
      <c r="G376">
        <v>0</v>
      </c>
      <c r="H376">
        <f t="shared" si="20"/>
        <v>0</v>
      </c>
      <c r="I376">
        <v>0</v>
      </c>
      <c r="J376">
        <f t="shared" si="21"/>
        <v>0</v>
      </c>
      <c r="K376">
        <v>0</v>
      </c>
      <c r="L376">
        <f t="shared" si="22"/>
        <v>0</v>
      </c>
      <c r="M376">
        <v>0</v>
      </c>
      <c r="N376">
        <f t="shared" si="23"/>
        <v>0</v>
      </c>
    </row>
    <row r="377" spans="1:14" x14ac:dyDescent="0.25">
      <c r="A377">
        <f>VLOOKUP(B377,Calculations!$A$2:$B$10,2)+VLOOKUP(C377,Calculations!$C$2:$D$7,2)+VLOOKUP(D377,Calculations!$E$2:$F$6,2)+VLOOKUP(E377,Calculations!$G$2:$H$6,2)</f>
        <v>3361</v>
      </c>
      <c r="B377" t="s">
        <v>51</v>
      </c>
      <c r="C377" t="s">
        <v>17</v>
      </c>
      <c r="D377" t="s">
        <v>54</v>
      </c>
      <c r="E377" t="s">
        <v>26</v>
      </c>
      <c r="F377">
        <v>1</v>
      </c>
      <c r="G377">
        <v>0</v>
      </c>
      <c r="H377">
        <f t="shared" si="20"/>
        <v>0</v>
      </c>
      <c r="I377">
        <v>1</v>
      </c>
      <c r="J377">
        <f t="shared" si="21"/>
        <v>3361</v>
      </c>
      <c r="K377">
        <v>1</v>
      </c>
      <c r="L377">
        <f t="shared" si="22"/>
        <v>3361</v>
      </c>
      <c r="M377">
        <v>1</v>
      </c>
      <c r="N377">
        <f t="shared" si="23"/>
        <v>3361</v>
      </c>
    </row>
    <row r="378" spans="1:14" x14ac:dyDescent="0.25">
      <c r="A378">
        <f>VLOOKUP(B378,Calculations!$A$2:$B$10,2)+VLOOKUP(C378,Calculations!$C$2:$D$7,2)+VLOOKUP(D378,Calculations!$E$2:$F$6,2)+VLOOKUP(E378,Calculations!$G$2:$H$6,2)</f>
        <v>3362</v>
      </c>
      <c r="B378" t="s">
        <v>51</v>
      </c>
      <c r="C378" t="s">
        <v>17</v>
      </c>
      <c r="D378" t="s">
        <v>13</v>
      </c>
      <c r="E378" t="s">
        <v>26</v>
      </c>
      <c r="F378">
        <v>1</v>
      </c>
      <c r="G378">
        <v>0</v>
      </c>
      <c r="H378">
        <f t="shared" si="20"/>
        <v>0</v>
      </c>
      <c r="I378">
        <v>1</v>
      </c>
      <c r="J378">
        <f t="shared" si="21"/>
        <v>3362</v>
      </c>
      <c r="K378">
        <v>1</v>
      </c>
      <c r="L378">
        <f t="shared" si="22"/>
        <v>3362</v>
      </c>
      <c r="M378">
        <v>1</v>
      </c>
      <c r="N378">
        <f t="shared" si="23"/>
        <v>3362</v>
      </c>
    </row>
    <row r="379" spans="1:14" x14ac:dyDescent="0.25">
      <c r="A379">
        <f>VLOOKUP(B379,Calculations!$A$2:$B$10,2)+VLOOKUP(C379,Calculations!$C$2:$D$7,2)+VLOOKUP(D379,Calculations!$E$2:$F$6,2)+VLOOKUP(E379,Calculations!$G$2:$H$6,2)</f>
        <v>3363</v>
      </c>
      <c r="B379" t="s">
        <v>51</v>
      </c>
      <c r="C379" t="s">
        <v>17</v>
      </c>
      <c r="D379" t="s">
        <v>14</v>
      </c>
      <c r="E379" t="s">
        <v>26</v>
      </c>
      <c r="F379">
        <v>1</v>
      </c>
      <c r="G379">
        <v>0</v>
      </c>
      <c r="H379">
        <f t="shared" si="20"/>
        <v>0</v>
      </c>
      <c r="I379">
        <v>1</v>
      </c>
      <c r="J379">
        <f t="shared" si="21"/>
        <v>3363</v>
      </c>
      <c r="K379">
        <v>1</v>
      </c>
      <c r="L379">
        <f t="shared" si="22"/>
        <v>3363</v>
      </c>
      <c r="M379">
        <v>0</v>
      </c>
      <c r="N379">
        <f t="shared" si="23"/>
        <v>0</v>
      </c>
    </row>
    <row r="380" spans="1:14" x14ac:dyDescent="0.25">
      <c r="A380">
        <f>VLOOKUP(B380,Calculations!$A$2:$B$10,2)+VLOOKUP(C380,Calculations!$C$2:$D$7,2)+VLOOKUP(D380,Calculations!$E$2:$F$6,2)+VLOOKUP(E380,Calculations!$G$2:$H$6,2)</f>
        <v>3364</v>
      </c>
      <c r="B380" t="s">
        <v>51</v>
      </c>
      <c r="C380" t="s">
        <v>17</v>
      </c>
      <c r="D380" t="s">
        <v>15</v>
      </c>
      <c r="E380" t="s">
        <v>26</v>
      </c>
      <c r="F380">
        <v>1</v>
      </c>
      <c r="G380">
        <v>0</v>
      </c>
      <c r="H380">
        <f t="shared" si="20"/>
        <v>0</v>
      </c>
      <c r="I380">
        <v>1</v>
      </c>
      <c r="J380">
        <f t="shared" si="21"/>
        <v>3364</v>
      </c>
      <c r="K380">
        <v>1</v>
      </c>
      <c r="L380">
        <f t="shared" si="22"/>
        <v>3364</v>
      </c>
      <c r="M380">
        <v>0</v>
      </c>
      <c r="N380">
        <f t="shared" si="23"/>
        <v>0</v>
      </c>
    </row>
    <row r="381" spans="1:14" x14ac:dyDescent="0.25">
      <c r="A381">
        <f>VLOOKUP(B381,Calculations!$A$2:$B$10,2)+VLOOKUP(C381,Calculations!$C$2:$D$7,2)+VLOOKUP(D381,Calculations!$E$2:$F$6,2)+VLOOKUP(E381,Calculations!$G$2:$H$6,2)</f>
        <v>3371</v>
      </c>
      <c r="B381" t="s">
        <v>52</v>
      </c>
      <c r="C381" t="s">
        <v>17</v>
      </c>
      <c r="D381" t="s">
        <v>54</v>
      </c>
      <c r="E381" t="s">
        <v>26</v>
      </c>
      <c r="F381">
        <v>1</v>
      </c>
      <c r="G381">
        <v>0</v>
      </c>
      <c r="H381">
        <f t="shared" si="20"/>
        <v>0</v>
      </c>
      <c r="I381">
        <v>1</v>
      </c>
      <c r="J381">
        <f t="shared" si="21"/>
        <v>3371</v>
      </c>
      <c r="K381">
        <v>1</v>
      </c>
      <c r="L381">
        <f t="shared" si="22"/>
        <v>3371</v>
      </c>
      <c r="M381">
        <v>1</v>
      </c>
      <c r="N381">
        <f t="shared" si="23"/>
        <v>3371</v>
      </c>
    </row>
    <row r="382" spans="1:14" x14ac:dyDescent="0.25">
      <c r="A382">
        <f>VLOOKUP(B382,Calculations!$A$2:$B$10,2)+VLOOKUP(C382,Calculations!$C$2:$D$7,2)+VLOOKUP(D382,Calculations!$E$2:$F$6,2)+VLOOKUP(E382,Calculations!$G$2:$H$6,2)</f>
        <v>3372</v>
      </c>
      <c r="B382" t="s">
        <v>52</v>
      </c>
      <c r="C382" t="s">
        <v>17</v>
      </c>
      <c r="D382" t="s">
        <v>13</v>
      </c>
      <c r="E382" t="s">
        <v>26</v>
      </c>
      <c r="F382">
        <v>1</v>
      </c>
      <c r="G382">
        <v>0</v>
      </c>
      <c r="H382">
        <f t="shared" si="20"/>
        <v>0</v>
      </c>
      <c r="I382">
        <v>1</v>
      </c>
      <c r="J382">
        <f t="shared" si="21"/>
        <v>3372</v>
      </c>
      <c r="K382">
        <v>1</v>
      </c>
      <c r="L382">
        <f t="shared" si="22"/>
        <v>3372</v>
      </c>
      <c r="M382">
        <v>1</v>
      </c>
      <c r="N382">
        <f t="shared" si="23"/>
        <v>3372</v>
      </c>
    </row>
    <row r="383" spans="1:14" x14ac:dyDescent="0.25">
      <c r="A383">
        <f>VLOOKUP(B383,Calculations!$A$2:$B$10,2)+VLOOKUP(C383,Calculations!$C$2:$D$7,2)+VLOOKUP(D383,Calculations!$E$2:$F$6,2)+VLOOKUP(E383,Calculations!$G$2:$H$6,2)</f>
        <v>3373</v>
      </c>
      <c r="B383" t="s">
        <v>52</v>
      </c>
      <c r="C383" t="s">
        <v>17</v>
      </c>
      <c r="D383" t="s">
        <v>14</v>
      </c>
      <c r="E383" t="s">
        <v>26</v>
      </c>
      <c r="F383">
        <v>1</v>
      </c>
      <c r="G383">
        <v>0</v>
      </c>
      <c r="H383">
        <f t="shared" si="20"/>
        <v>0</v>
      </c>
      <c r="I383">
        <v>1</v>
      </c>
      <c r="J383">
        <f t="shared" si="21"/>
        <v>3373</v>
      </c>
      <c r="K383">
        <v>1</v>
      </c>
      <c r="L383">
        <f t="shared" si="22"/>
        <v>3373</v>
      </c>
      <c r="M383">
        <v>0</v>
      </c>
      <c r="N383">
        <f t="shared" si="23"/>
        <v>0</v>
      </c>
    </row>
    <row r="384" spans="1:14" x14ac:dyDescent="0.25">
      <c r="A384">
        <f>VLOOKUP(B384,Calculations!$A$2:$B$10,2)+VLOOKUP(C384,Calculations!$C$2:$D$7,2)+VLOOKUP(D384,Calculations!$E$2:$F$6,2)+VLOOKUP(E384,Calculations!$G$2:$H$6,2)</f>
        <v>3374</v>
      </c>
      <c r="B384" t="s">
        <v>52</v>
      </c>
      <c r="C384" t="s">
        <v>17</v>
      </c>
      <c r="D384" t="s">
        <v>15</v>
      </c>
      <c r="E384" t="s">
        <v>26</v>
      </c>
      <c r="F384">
        <v>1</v>
      </c>
      <c r="G384">
        <v>0</v>
      </c>
      <c r="H384">
        <f t="shared" si="20"/>
        <v>0</v>
      </c>
      <c r="I384">
        <v>1</v>
      </c>
      <c r="J384">
        <f t="shared" si="21"/>
        <v>3374</v>
      </c>
      <c r="K384">
        <v>1</v>
      </c>
      <c r="L384">
        <f t="shared" si="22"/>
        <v>3374</v>
      </c>
      <c r="M384">
        <v>0</v>
      </c>
      <c r="N384">
        <f t="shared" si="23"/>
        <v>0</v>
      </c>
    </row>
    <row r="385" spans="1:14" x14ac:dyDescent="0.25">
      <c r="A385">
        <f>VLOOKUP(B385,Calculations!$A$2:$B$10,2)+VLOOKUP(C385,Calculations!$C$2:$D$7,2)+VLOOKUP(D385,Calculations!$E$2:$F$6,2)+VLOOKUP(E385,Calculations!$G$2:$H$6,2)</f>
        <v>3381</v>
      </c>
      <c r="B385" t="s">
        <v>8</v>
      </c>
      <c r="C385" t="s">
        <v>17</v>
      </c>
      <c r="D385" t="s">
        <v>54</v>
      </c>
      <c r="E385" t="s">
        <v>26</v>
      </c>
      <c r="F385">
        <v>0</v>
      </c>
      <c r="G385">
        <v>0</v>
      </c>
      <c r="H385">
        <f t="shared" si="20"/>
        <v>0</v>
      </c>
      <c r="I385">
        <v>0</v>
      </c>
      <c r="J385">
        <f t="shared" si="21"/>
        <v>0</v>
      </c>
      <c r="K385">
        <v>0</v>
      </c>
      <c r="L385">
        <f t="shared" si="22"/>
        <v>0</v>
      </c>
      <c r="M385">
        <v>0</v>
      </c>
      <c r="N385">
        <f t="shared" si="23"/>
        <v>0</v>
      </c>
    </row>
    <row r="386" spans="1:14" x14ac:dyDescent="0.25">
      <c r="A386">
        <f>VLOOKUP(B386,Calculations!$A$2:$B$10,2)+VLOOKUP(C386,Calculations!$C$2:$D$7,2)+VLOOKUP(D386,Calculations!$E$2:$F$6,2)+VLOOKUP(E386,Calculations!$G$2:$H$6,2)</f>
        <v>3382</v>
      </c>
      <c r="B386" t="s">
        <v>8</v>
      </c>
      <c r="C386" t="s">
        <v>17</v>
      </c>
      <c r="D386" t="s">
        <v>13</v>
      </c>
      <c r="E386" t="s">
        <v>26</v>
      </c>
      <c r="F386">
        <v>0</v>
      </c>
      <c r="G386">
        <v>0</v>
      </c>
      <c r="H386">
        <f t="shared" ref="H386:H449" si="24">A386*G386</f>
        <v>0</v>
      </c>
      <c r="I386">
        <v>0</v>
      </c>
      <c r="J386">
        <f t="shared" ref="J386:J449" si="25">A386*I386</f>
        <v>0</v>
      </c>
      <c r="K386">
        <v>0</v>
      </c>
      <c r="L386">
        <f t="shared" ref="L386:L449" si="26">K386*A386</f>
        <v>0</v>
      </c>
      <c r="M386">
        <v>0</v>
      </c>
      <c r="N386">
        <f t="shared" ref="N386:N449" si="27">A386*M386</f>
        <v>0</v>
      </c>
    </row>
    <row r="387" spans="1:14" x14ac:dyDescent="0.25">
      <c r="A387">
        <f>VLOOKUP(B387,Calculations!$A$2:$B$10,2)+VLOOKUP(C387,Calculations!$C$2:$D$7,2)+VLOOKUP(D387,Calculations!$E$2:$F$6,2)+VLOOKUP(E387,Calculations!$G$2:$H$6,2)</f>
        <v>3383</v>
      </c>
      <c r="B387" t="s">
        <v>8</v>
      </c>
      <c r="C387" t="s">
        <v>17</v>
      </c>
      <c r="D387" t="s">
        <v>14</v>
      </c>
      <c r="E387" t="s">
        <v>26</v>
      </c>
      <c r="F387">
        <v>0</v>
      </c>
      <c r="G387">
        <v>0</v>
      </c>
      <c r="H387">
        <f t="shared" si="24"/>
        <v>0</v>
      </c>
      <c r="I387">
        <v>0</v>
      </c>
      <c r="J387">
        <f t="shared" si="25"/>
        <v>0</v>
      </c>
      <c r="K387">
        <v>0</v>
      </c>
      <c r="L387">
        <f t="shared" si="26"/>
        <v>0</v>
      </c>
      <c r="M387">
        <v>0</v>
      </c>
      <c r="N387">
        <f t="shared" si="27"/>
        <v>0</v>
      </c>
    </row>
    <row r="388" spans="1:14" x14ac:dyDescent="0.25">
      <c r="A388">
        <f>VLOOKUP(B388,Calculations!$A$2:$B$10,2)+VLOOKUP(C388,Calculations!$C$2:$D$7,2)+VLOOKUP(D388,Calculations!$E$2:$F$6,2)+VLOOKUP(E388,Calculations!$G$2:$H$6,2)</f>
        <v>3384</v>
      </c>
      <c r="B388" t="s">
        <v>8</v>
      </c>
      <c r="C388" t="s">
        <v>17</v>
      </c>
      <c r="D388" t="s">
        <v>15</v>
      </c>
      <c r="E388" t="s">
        <v>26</v>
      </c>
      <c r="F388">
        <v>0</v>
      </c>
      <c r="G388">
        <v>0</v>
      </c>
      <c r="H388">
        <f t="shared" si="24"/>
        <v>0</v>
      </c>
      <c r="I388">
        <v>0</v>
      </c>
      <c r="J388">
        <f t="shared" si="25"/>
        <v>0</v>
      </c>
      <c r="K388">
        <v>0</v>
      </c>
      <c r="L388">
        <f t="shared" si="26"/>
        <v>0</v>
      </c>
      <c r="M388">
        <v>0</v>
      </c>
      <c r="N388">
        <f t="shared" si="27"/>
        <v>0</v>
      </c>
    </row>
    <row r="389" spans="1:14" x14ac:dyDescent="0.25">
      <c r="A389">
        <f>VLOOKUP(B389,Calculations!$A$2:$B$10,2)+VLOOKUP(C389,Calculations!$C$2:$D$7,2)+VLOOKUP(D389,Calculations!$E$2:$F$6,2)+VLOOKUP(E389,Calculations!$G$2:$H$6,2)</f>
        <v>3401</v>
      </c>
      <c r="B389" t="s">
        <v>5</v>
      </c>
      <c r="C389" t="s">
        <v>17</v>
      </c>
      <c r="D389" t="s">
        <v>54</v>
      </c>
      <c r="E389" t="s">
        <v>27</v>
      </c>
      <c r="F389">
        <v>1</v>
      </c>
      <c r="G389">
        <v>0</v>
      </c>
      <c r="H389">
        <f t="shared" si="24"/>
        <v>0</v>
      </c>
      <c r="I389">
        <v>1</v>
      </c>
      <c r="J389">
        <f t="shared" si="25"/>
        <v>3401</v>
      </c>
      <c r="K389">
        <v>1</v>
      </c>
      <c r="L389">
        <f t="shared" si="26"/>
        <v>3401</v>
      </c>
      <c r="M389">
        <v>1</v>
      </c>
      <c r="N389">
        <f t="shared" si="27"/>
        <v>3401</v>
      </c>
    </row>
    <row r="390" spans="1:14" x14ac:dyDescent="0.25">
      <c r="A390">
        <f>VLOOKUP(B390,Calculations!$A$2:$B$10,2)+VLOOKUP(C390,Calculations!$C$2:$D$7,2)+VLOOKUP(D390,Calculations!$E$2:$F$6,2)+VLOOKUP(E390,Calculations!$G$2:$H$6,2)</f>
        <v>3402</v>
      </c>
      <c r="B390" t="s">
        <v>5</v>
      </c>
      <c r="C390" t="s">
        <v>17</v>
      </c>
      <c r="D390" t="s">
        <v>13</v>
      </c>
      <c r="E390" t="s">
        <v>27</v>
      </c>
      <c r="F390">
        <v>1</v>
      </c>
      <c r="G390">
        <v>0</v>
      </c>
      <c r="H390">
        <f t="shared" si="24"/>
        <v>0</v>
      </c>
      <c r="I390">
        <v>1</v>
      </c>
      <c r="J390">
        <f t="shared" si="25"/>
        <v>3402</v>
      </c>
      <c r="K390">
        <v>1</v>
      </c>
      <c r="L390">
        <f t="shared" si="26"/>
        <v>3402</v>
      </c>
      <c r="M390">
        <v>1</v>
      </c>
      <c r="N390">
        <f t="shared" si="27"/>
        <v>3402</v>
      </c>
    </row>
    <row r="391" spans="1:14" x14ac:dyDescent="0.25">
      <c r="A391">
        <f>VLOOKUP(B391,Calculations!$A$2:$B$10,2)+VLOOKUP(C391,Calculations!$C$2:$D$7,2)+VLOOKUP(D391,Calculations!$E$2:$F$6,2)+VLOOKUP(E391,Calculations!$G$2:$H$6,2)</f>
        <v>3403</v>
      </c>
      <c r="B391" t="s">
        <v>5</v>
      </c>
      <c r="C391" t="s">
        <v>17</v>
      </c>
      <c r="D391" t="s">
        <v>14</v>
      </c>
      <c r="E391" t="s">
        <v>27</v>
      </c>
      <c r="F391">
        <v>1</v>
      </c>
      <c r="G391">
        <v>0</v>
      </c>
      <c r="H391">
        <f t="shared" si="24"/>
        <v>0</v>
      </c>
      <c r="I391">
        <v>1</v>
      </c>
      <c r="J391">
        <f t="shared" si="25"/>
        <v>3403</v>
      </c>
      <c r="K391">
        <v>1</v>
      </c>
      <c r="L391">
        <f t="shared" si="26"/>
        <v>3403</v>
      </c>
      <c r="M391">
        <v>1</v>
      </c>
      <c r="N391">
        <f t="shared" si="27"/>
        <v>3403</v>
      </c>
    </row>
    <row r="392" spans="1:14" x14ac:dyDescent="0.25">
      <c r="A392">
        <f>VLOOKUP(B392,Calculations!$A$2:$B$10,2)+VLOOKUP(C392,Calculations!$C$2:$D$7,2)+VLOOKUP(D392,Calculations!$E$2:$F$6,2)+VLOOKUP(E392,Calculations!$G$2:$H$6,2)</f>
        <v>3404</v>
      </c>
      <c r="B392" t="s">
        <v>5</v>
      </c>
      <c r="C392" t="s">
        <v>17</v>
      </c>
      <c r="D392" t="s">
        <v>15</v>
      </c>
      <c r="E392" t="s">
        <v>27</v>
      </c>
      <c r="F392">
        <v>0</v>
      </c>
      <c r="G392">
        <v>0</v>
      </c>
      <c r="H392">
        <f t="shared" si="24"/>
        <v>0</v>
      </c>
      <c r="I392">
        <v>0</v>
      </c>
      <c r="J392">
        <f t="shared" si="25"/>
        <v>0</v>
      </c>
      <c r="K392">
        <v>0</v>
      </c>
      <c r="L392">
        <f t="shared" si="26"/>
        <v>0</v>
      </c>
      <c r="M392">
        <v>0</v>
      </c>
      <c r="N392">
        <f t="shared" si="27"/>
        <v>0</v>
      </c>
    </row>
    <row r="393" spans="1:14" x14ac:dyDescent="0.25">
      <c r="A393">
        <f>VLOOKUP(B393,Calculations!$A$2:$B$10,2)+VLOOKUP(C393,Calculations!$C$2:$D$7,2)+VLOOKUP(D393,Calculations!$E$2:$F$6,2)+VLOOKUP(E393,Calculations!$G$2:$H$6,2)</f>
        <v>3411</v>
      </c>
      <c r="B393" t="s">
        <v>6</v>
      </c>
      <c r="C393" t="s">
        <v>17</v>
      </c>
      <c r="D393" t="s">
        <v>54</v>
      </c>
      <c r="E393" t="s">
        <v>27</v>
      </c>
      <c r="F393">
        <v>1</v>
      </c>
      <c r="G393">
        <v>0</v>
      </c>
      <c r="H393">
        <f t="shared" si="24"/>
        <v>0</v>
      </c>
      <c r="I393">
        <v>1</v>
      </c>
      <c r="J393">
        <f t="shared" si="25"/>
        <v>3411</v>
      </c>
      <c r="K393">
        <v>1</v>
      </c>
      <c r="L393">
        <f t="shared" si="26"/>
        <v>3411</v>
      </c>
      <c r="M393">
        <v>1</v>
      </c>
      <c r="N393">
        <f t="shared" si="27"/>
        <v>3411</v>
      </c>
    </row>
    <row r="394" spans="1:14" x14ac:dyDescent="0.25">
      <c r="A394">
        <f>VLOOKUP(B394,Calculations!$A$2:$B$10,2)+VLOOKUP(C394,Calculations!$C$2:$D$7,2)+VLOOKUP(D394,Calculations!$E$2:$F$6,2)+VLOOKUP(E394,Calculations!$G$2:$H$6,2)</f>
        <v>3412</v>
      </c>
      <c r="B394" t="s">
        <v>6</v>
      </c>
      <c r="C394" t="s">
        <v>17</v>
      </c>
      <c r="D394" t="s">
        <v>13</v>
      </c>
      <c r="E394" t="s">
        <v>27</v>
      </c>
      <c r="F394">
        <v>1</v>
      </c>
      <c r="G394">
        <v>0</v>
      </c>
      <c r="H394">
        <f t="shared" si="24"/>
        <v>0</v>
      </c>
      <c r="I394">
        <v>1</v>
      </c>
      <c r="J394">
        <f t="shared" si="25"/>
        <v>3412</v>
      </c>
      <c r="K394">
        <v>1</v>
      </c>
      <c r="L394">
        <f t="shared" si="26"/>
        <v>3412</v>
      </c>
      <c r="M394">
        <v>1</v>
      </c>
      <c r="N394">
        <f t="shared" si="27"/>
        <v>3412</v>
      </c>
    </row>
    <row r="395" spans="1:14" x14ac:dyDescent="0.25">
      <c r="A395">
        <f>VLOOKUP(B395,Calculations!$A$2:$B$10,2)+VLOOKUP(C395,Calculations!$C$2:$D$7,2)+VLOOKUP(D395,Calculations!$E$2:$F$6,2)+VLOOKUP(E395,Calculations!$G$2:$H$6,2)</f>
        <v>3413</v>
      </c>
      <c r="B395" t="s">
        <v>6</v>
      </c>
      <c r="C395" t="s">
        <v>17</v>
      </c>
      <c r="D395" t="s">
        <v>14</v>
      </c>
      <c r="E395" t="s">
        <v>27</v>
      </c>
      <c r="F395">
        <v>1</v>
      </c>
      <c r="G395">
        <v>0</v>
      </c>
      <c r="H395">
        <f t="shared" si="24"/>
        <v>0</v>
      </c>
      <c r="I395">
        <v>1</v>
      </c>
      <c r="J395">
        <f t="shared" si="25"/>
        <v>3413</v>
      </c>
      <c r="K395">
        <v>1</v>
      </c>
      <c r="L395">
        <f t="shared" si="26"/>
        <v>3413</v>
      </c>
      <c r="M395">
        <v>1</v>
      </c>
      <c r="N395">
        <f t="shared" si="27"/>
        <v>3413</v>
      </c>
    </row>
    <row r="396" spans="1:14" x14ac:dyDescent="0.25">
      <c r="A396">
        <f>VLOOKUP(B396,Calculations!$A$2:$B$10,2)+VLOOKUP(C396,Calculations!$C$2:$D$7,2)+VLOOKUP(D396,Calculations!$E$2:$F$6,2)+VLOOKUP(E396,Calculations!$G$2:$H$6,2)</f>
        <v>3414</v>
      </c>
      <c r="B396" t="s">
        <v>6</v>
      </c>
      <c r="C396" t="s">
        <v>17</v>
      </c>
      <c r="D396" t="s">
        <v>15</v>
      </c>
      <c r="E396" t="s">
        <v>27</v>
      </c>
      <c r="F396">
        <v>0</v>
      </c>
      <c r="G396">
        <v>0</v>
      </c>
      <c r="H396">
        <f t="shared" si="24"/>
        <v>0</v>
      </c>
      <c r="I396">
        <v>0</v>
      </c>
      <c r="J396">
        <f t="shared" si="25"/>
        <v>0</v>
      </c>
      <c r="K396">
        <v>0</v>
      </c>
      <c r="L396">
        <f t="shared" si="26"/>
        <v>0</v>
      </c>
      <c r="M396">
        <v>0</v>
      </c>
      <c r="N396">
        <f t="shared" si="27"/>
        <v>0</v>
      </c>
    </row>
    <row r="397" spans="1:14" x14ac:dyDescent="0.25">
      <c r="A397">
        <f>VLOOKUP(B397,Calculations!$A$2:$B$10,2)+VLOOKUP(C397,Calculations!$C$2:$D$7,2)+VLOOKUP(D397,Calculations!$E$2:$F$6,2)+VLOOKUP(E397,Calculations!$G$2:$H$6,2)</f>
        <v>3421</v>
      </c>
      <c r="B397" t="s">
        <v>7</v>
      </c>
      <c r="C397" t="s">
        <v>17</v>
      </c>
      <c r="D397" t="s">
        <v>54</v>
      </c>
      <c r="E397" t="s">
        <v>27</v>
      </c>
      <c r="F397">
        <v>1</v>
      </c>
      <c r="G397">
        <v>0</v>
      </c>
      <c r="H397">
        <f t="shared" si="24"/>
        <v>0</v>
      </c>
      <c r="I397">
        <v>1</v>
      </c>
      <c r="J397">
        <f t="shared" si="25"/>
        <v>3421</v>
      </c>
      <c r="K397">
        <v>1</v>
      </c>
      <c r="L397">
        <f t="shared" si="26"/>
        <v>3421</v>
      </c>
      <c r="M397">
        <v>1</v>
      </c>
      <c r="N397">
        <f t="shared" si="27"/>
        <v>3421</v>
      </c>
    </row>
    <row r="398" spans="1:14" x14ac:dyDescent="0.25">
      <c r="A398">
        <f>VLOOKUP(B398,Calculations!$A$2:$B$10,2)+VLOOKUP(C398,Calculations!$C$2:$D$7,2)+VLOOKUP(D398,Calculations!$E$2:$F$6,2)+VLOOKUP(E398,Calculations!$G$2:$H$6,2)</f>
        <v>3422</v>
      </c>
      <c r="B398" t="s">
        <v>7</v>
      </c>
      <c r="C398" t="s">
        <v>17</v>
      </c>
      <c r="D398" t="s">
        <v>13</v>
      </c>
      <c r="E398" t="s">
        <v>27</v>
      </c>
      <c r="F398">
        <v>1</v>
      </c>
      <c r="G398">
        <v>0</v>
      </c>
      <c r="H398">
        <f t="shared" si="24"/>
        <v>0</v>
      </c>
      <c r="I398">
        <v>1</v>
      </c>
      <c r="J398">
        <f t="shared" si="25"/>
        <v>3422</v>
      </c>
      <c r="K398">
        <v>1</v>
      </c>
      <c r="L398">
        <f t="shared" si="26"/>
        <v>3422</v>
      </c>
      <c r="M398">
        <v>1</v>
      </c>
      <c r="N398">
        <f t="shared" si="27"/>
        <v>3422</v>
      </c>
    </row>
    <row r="399" spans="1:14" x14ac:dyDescent="0.25">
      <c r="A399">
        <f>VLOOKUP(B399,Calculations!$A$2:$B$10,2)+VLOOKUP(C399,Calculations!$C$2:$D$7,2)+VLOOKUP(D399,Calculations!$E$2:$F$6,2)+VLOOKUP(E399,Calculations!$G$2:$H$6,2)</f>
        <v>3423</v>
      </c>
      <c r="B399" t="s">
        <v>7</v>
      </c>
      <c r="C399" t="s">
        <v>17</v>
      </c>
      <c r="D399" t="s">
        <v>14</v>
      </c>
      <c r="E399" t="s">
        <v>27</v>
      </c>
      <c r="F399">
        <v>1</v>
      </c>
      <c r="G399">
        <v>0</v>
      </c>
      <c r="H399">
        <f t="shared" si="24"/>
        <v>0</v>
      </c>
      <c r="I399">
        <v>1</v>
      </c>
      <c r="J399">
        <f t="shared" si="25"/>
        <v>3423</v>
      </c>
      <c r="K399">
        <v>1</v>
      </c>
      <c r="L399">
        <f t="shared" si="26"/>
        <v>3423</v>
      </c>
      <c r="M399">
        <v>1</v>
      </c>
      <c r="N399">
        <f t="shared" si="27"/>
        <v>3423</v>
      </c>
    </row>
    <row r="400" spans="1:14" x14ac:dyDescent="0.25">
      <c r="A400">
        <f>VLOOKUP(B400,Calculations!$A$2:$B$10,2)+VLOOKUP(C400,Calculations!$C$2:$D$7,2)+VLOOKUP(D400,Calculations!$E$2:$F$6,2)+VLOOKUP(E400,Calculations!$G$2:$H$6,2)</f>
        <v>3424</v>
      </c>
      <c r="B400" t="s">
        <v>7</v>
      </c>
      <c r="C400" t="s">
        <v>17</v>
      </c>
      <c r="D400" t="s">
        <v>15</v>
      </c>
      <c r="E400" t="s">
        <v>27</v>
      </c>
      <c r="F400">
        <v>1</v>
      </c>
      <c r="G400">
        <v>0</v>
      </c>
      <c r="H400">
        <f t="shared" si="24"/>
        <v>0</v>
      </c>
      <c r="I400">
        <v>1</v>
      </c>
      <c r="J400">
        <f t="shared" si="25"/>
        <v>3424</v>
      </c>
      <c r="K400">
        <v>1</v>
      </c>
      <c r="L400">
        <f t="shared" si="26"/>
        <v>3424</v>
      </c>
      <c r="M400">
        <v>1</v>
      </c>
      <c r="N400">
        <f t="shared" si="27"/>
        <v>3424</v>
      </c>
    </row>
    <row r="401" spans="1:14" x14ac:dyDescent="0.25">
      <c r="A401">
        <f>VLOOKUP(B401,Calculations!$A$2:$B$10,2)+VLOOKUP(C401,Calculations!$C$2:$D$7,2)+VLOOKUP(D401,Calculations!$E$2:$F$6,2)+VLOOKUP(E401,Calculations!$G$2:$H$6,2)</f>
        <v>3431</v>
      </c>
      <c r="B401" t="s">
        <v>53</v>
      </c>
      <c r="C401" t="s">
        <v>17</v>
      </c>
      <c r="D401" t="s">
        <v>54</v>
      </c>
      <c r="E401" t="s">
        <v>27</v>
      </c>
      <c r="F401">
        <v>1</v>
      </c>
      <c r="G401">
        <v>0</v>
      </c>
      <c r="H401">
        <f t="shared" si="24"/>
        <v>0</v>
      </c>
      <c r="I401">
        <v>1</v>
      </c>
      <c r="J401">
        <f t="shared" si="25"/>
        <v>3431</v>
      </c>
      <c r="K401">
        <v>1</v>
      </c>
      <c r="L401">
        <f t="shared" si="26"/>
        <v>3431</v>
      </c>
      <c r="M401">
        <v>1</v>
      </c>
      <c r="N401">
        <f t="shared" si="27"/>
        <v>3431</v>
      </c>
    </row>
    <row r="402" spans="1:14" x14ac:dyDescent="0.25">
      <c r="A402">
        <f>VLOOKUP(B402,Calculations!$A$2:$B$10,2)+VLOOKUP(C402,Calculations!$C$2:$D$7,2)+VLOOKUP(D402,Calculations!$E$2:$F$6,2)+VLOOKUP(E402,Calculations!$G$2:$H$6,2)</f>
        <v>3432</v>
      </c>
      <c r="B402" t="s">
        <v>53</v>
      </c>
      <c r="C402" t="s">
        <v>17</v>
      </c>
      <c r="D402" t="s">
        <v>13</v>
      </c>
      <c r="E402" t="s">
        <v>27</v>
      </c>
      <c r="F402">
        <v>1</v>
      </c>
      <c r="G402">
        <v>0</v>
      </c>
      <c r="H402">
        <f t="shared" si="24"/>
        <v>0</v>
      </c>
      <c r="I402">
        <v>1</v>
      </c>
      <c r="J402">
        <f t="shared" si="25"/>
        <v>3432</v>
      </c>
      <c r="K402">
        <v>1</v>
      </c>
      <c r="L402">
        <f t="shared" si="26"/>
        <v>3432</v>
      </c>
      <c r="M402">
        <v>1</v>
      </c>
      <c r="N402">
        <f t="shared" si="27"/>
        <v>3432</v>
      </c>
    </row>
    <row r="403" spans="1:14" x14ac:dyDescent="0.25">
      <c r="A403">
        <f>VLOOKUP(B403,Calculations!$A$2:$B$10,2)+VLOOKUP(C403,Calculations!$C$2:$D$7,2)+VLOOKUP(D403,Calculations!$E$2:$F$6,2)+VLOOKUP(E403,Calculations!$G$2:$H$6,2)</f>
        <v>3433</v>
      </c>
      <c r="B403" t="s">
        <v>53</v>
      </c>
      <c r="C403" t="s">
        <v>17</v>
      </c>
      <c r="D403" t="s">
        <v>14</v>
      </c>
      <c r="E403" t="s">
        <v>27</v>
      </c>
      <c r="F403">
        <v>1</v>
      </c>
      <c r="G403">
        <v>0</v>
      </c>
      <c r="H403">
        <f t="shared" si="24"/>
        <v>0</v>
      </c>
      <c r="I403">
        <v>1</v>
      </c>
      <c r="J403">
        <f t="shared" si="25"/>
        <v>3433</v>
      </c>
      <c r="K403">
        <v>1</v>
      </c>
      <c r="L403">
        <f t="shared" si="26"/>
        <v>3433</v>
      </c>
      <c r="M403">
        <v>1</v>
      </c>
      <c r="N403">
        <f t="shared" si="27"/>
        <v>3433</v>
      </c>
    </row>
    <row r="404" spans="1:14" x14ac:dyDescent="0.25">
      <c r="A404">
        <f>VLOOKUP(B404,Calculations!$A$2:$B$10,2)+VLOOKUP(C404,Calculations!$C$2:$D$7,2)+VLOOKUP(D404,Calculations!$E$2:$F$6,2)+VLOOKUP(E404,Calculations!$G$2:$H$6,2)</f>
        <v>3434</v>
      </c>
      <c r="B404" t="s">
        <v>53</v>
      </c>
      <c r="C404" t="s">
        <v>17</v>
      </c>
      <c r="D404" t="s">
        <v>15</v>
      </c>
      <c r="E404" t="s">
        <v>27</v>
      </c>
      <c r="F404">
        <v>1</v>
      </c>
      <c r="G404">
        <v>0</v>
      </c>
      <c r="H404">
        <f t="shared" si="24"/>
        <v>0</v>
      </c>
      <c r="I404">
        <v>1</v>
      </c>
      <c r="J404">
        <f t="shared" si="25"/>
        <v>3434</v>
      </c>
      <c r="K404">
        <v>1</v>
      </c>
      <c r="L404">
        <f t="shared" si="26"/>
        <v>3434</v>
      </c>
      <c r="M404">
        <v>1</v>
      </c>
      <c r="N404">
        <f t="shared" si="27"/>
        <v>3434</v>
      </c>
    </row>
    <row r="405" spans="1:14" x14ac:dyDescent="0.25">
      <c r="A405">
        <f>VLOOKUP(B405,Calculations!$A$2:$B$10,2)+VLOOKUP(C405,Calculations!$C$2:$D$7,2)+VLOOKUP(D405,Calculations!$E$2:$F$6,2)+VLOOKUP(E405,Calculations!$G$2:$H$6,2)</f>
        <v>3441</v>
      </c>
      <c r="B405" t="s">
        <v>9</v>
      </c>
      <c r="C405" t="s">
        <v>17</v>
      </c>
      <c r="D405" t="s">
        <v>54</v>
      </c>
      <c r="E405" t="s">
        <v>27</v>
      </c>
      <c r="F405">
        <v>1</v>
      </c>
      <c r="G405">
        <v>0</v>
      </c>
      <c r="H405">
        <f t="shared" si="24"/>
        <v>0</v>
      </c>
      <c r="I405">
        <v>1</v>
      </c>
      <c r="J405">
        <f t="shared" si="25"/>
        <v>3441</v>
      </c>
      <c r="K405">
        <v>1</v>
      </c>
      <c r="L405">
        <f t="shared" si="26"/>
        <v>3441</v>
      </c>
      <c r="M405">
        <v>1</v>
      </c>
      <c r="N405">
        <f t="shared" si="27"/>
        <v>3441</v>
      </c>
    </row>
    <row r="406" spans="1:14" x14ac:dyDescent="0.25">
      <c r="A406">
        <f>VLOOKUP(B406,Calculations!$A$2:$B$10,2)+VLOOKUP(C406,Calculations!$C$2:$D$7,2)+VLOOKUP(D406,Calculations!$E$2:$F$6,2)+VLOOKUP(E406,Calculations!$G$2:$H$6,2)</f>
        <v>3442</v>
      </c>
      <c r="B406" t="s">
        <v>9</v>
      </c>
      <c r="C406" t="s">
        <v>17</v>
      </c>
      <c r="D406" t="s">
        <v>13</v>
      </c>
      <c r="E406" t="s">
        <v>27</v>
      </c>
      <c r="F406">
        <v>0</v>
      </c>
      <c r="G406">
        <v>0</v>
      </c>
      <c r="H406">
        <f t="shared" si="24"/>
        <v>0</v>
      </c>
      <c r="I406">
        <v>0</v>
      </c>
      <c r="J406">
        <f t="shared" si="25"/>
        <v>0</v>
      </c>
      <c r="K406">
        <v>0</v>
      </c>
      <c r="L406">
        <f t="shared" si="26"/>
        <v>0</v>
      </c>
      <c r="M406">
        <v>0</v>
      </c>
      <c r="N406">
        <f t="shared" si="27"/>
        <v>0</v>
      </c>
    </row>
    <row r="407" spans="1:14" x14ac:dyDescent="0.25">
      <c r="A407">
        <f>VLOOKUP(B407,Calculations!$A$2:$B$10,2)+VLOOKUP(C407,Calculations!$C$2:$D$7,2)+VLOOKUP(D407,Calculations!$E$2:$F$6,2)+VLOOKUP(E407,Calculations!$G$2:$H$6,2)</f>
        <v>3443</v>
      </c>
      <c r="B407" t="s">
        <v>9</v>
      </c>
      <c r="C407" t="s">
        <v>17</v>
      </c>
      <c r="D407" t="s">
        <v>14</v>
      </c>
      <c r="E407" t="s">
        <v>27</v>
      </c>
      <c r="F407">
        <v>0</v>
      </c>
      <c r="G407">
        <v>0</v>
      </c>
      <c r="H407">
        <f t="shared" si="24"/>
        <v>0</v>
      </c>
      <c r="I407">
        <v>0</v>
      </c>
      <c r="J407">
        <f t="shared" si="25"/>
        <v>0</v>
      </c>
      <c r="K407">
        <v>0</v>
      </c>
      <c r="L407">
        <f t="shared" si="26"/>
        <v>0</v>
      </c>
      <c r="M407">
        <v>0</v>
      </c>
      <c r="N407">
        <f t="shared" si="27"/>
        <v>0</v>
      </c>
    </row>
    <row r="408" spans="1:14" x14ac:dyDescent="0.25">
      <c r="A408">
        <f>VLOOKUP(B408,Calculations!$A$2:$B$10,2)+VLOOKUP(C408,Calculations!$C$2:$D$7,2)+VLOOKUP(D408,Calculations!$E$2:$F$6,2)+VLOOKUP(E408,Calculations!$G$2:$H$6,2)</f>
        <v>3444</v>
      </c>
      <c r="B408" t="s">
        <v>9</v>
      </c>
      <c r="C408" t="s">
        <v>17</v>
      </c>
      <c r="D408" t="s">
        <v>15</v>
      </c>
      <c r="E408" t="s">
        <v>27</v>
      </c>
      <c r="F408">
        <v>0</v>
      </c>
      <c r="G408">
        <v>0</v>
      </c>
      <c r="H408">
        <f t="shared" si="24"/>
        <v>0</v>
      </c>
      <c r="I408">
        <v>0</v>
      </c>
      <c r="J408">
        <f t="shared" si="25"/>
        <v>0</v>
      </c>
      <c r="K408">
        <v>0</v>
      </c>
      <c r="L408">
        <f t="shared" si="26"/>
        <v>0</v>
      </c>
      <c r="M408">
        <v>0</v>
      </c>
      <c r="N408">
        <f t="shared" si="27"/>
        <v>0</v>
      </c>
    </row>
    <row r="409" spans="1:14" x14ac:dyDescent="0.25">
      <c r="A409">
        <f>VLOOKUP(B409,Calculations!$A$2:$B$10,2)+VLOOKUP(C409,Calculations!$C$2:$D$7,2)+VLOOKUP(D409,Calculations!$E$2:$F$6,2)+VLOOKUP(E409,Calculations!$G$2:$H$6,2)</f>
        <v>3451</v>
      </c>
      <c r="B409" t="s">
        <v>50</v>
      </c>
      <c r="C409" t="s">
        <v>17</v>
      </c>
      <c r="D409" t="s">
        <v>54</v>
      </c>
      <c r="E409" t="s">
        <v>27</v>
      </c>
      <c r="F409">
        <v>0</v>
      </c>
      <c r="G409">
        <v>0</v>
      </c>
      <c r="H409">
        <f t="shared" si="24"/>
        <v>0</v>
      </c>
      <c r="I409">
        <v>0</v>
      </c>
      <c r="J409">
        <f t="shared" si="25"/>
        <v>0</v>
      </c>
      <c r="K409">
        <v>0</v>
      </c>
      <c r="L409">
        <f t="shared" si="26"/>
        <v>0</v>
      </c>
      <c r="M409">
        <v>0</v>
      </c>
      <c r="N409">
        <f t="shared" si="27"/>
        <v>0</v>
      </c>
    </row>
    <row r="410" spans="1:14" x14ac:dyDescent="0.25">
      <c r="A410">
        <f>VLOOKUP(B410,Calculations!$A$2:$B$10,2)+VLOOKUP(C410,Calculations!$C$2:$D$7,2)+VLOOKUP(D410,Calculations!$E$2:$F$6,2)+VLOOKUP(E410,Calculations!$G$2:$H$6,2)</f>
        <v>3452</v>
      </c>
      <c r="B410" t="s">
        <v>50</v>
      </c>
      <c r="C410" t="s">
        <v>17</v>
      </c>
      <c r="D410" t="s">
        <v>13</v>
      </c>
      <c r="E410" t="s">
        <v>27</v>
      </c>
      <c r="F410">
        <v>0</v>
      </c>
      <c r="G410">
        <v>0</v>
      </c>
      <c r="H410">
        <f t="shared" si="24"/>
        <v>0</v>
      </c>
      <c r="I410">
        <v>0</v>
      </c>
      <c r="J410">
        <f t="shared" si="25"/>
        <v>0</v>
      </c>
      <c r="K410">
        <v>0</v>
      </c>
      <c r="L410">
        <f t="shared" si="26"/>
        <v>0</v>
      </c>
      <c r="M410">
        <v>0</v>
      </c>
      <c r="N410">
        <f t="shared" si="27"/>
        <v>0</v>
      </c>
    </row>
    <row r="411" spans="1:14" x14ac:dyDescent="0.25">
      <c r="A411">
        <f>VLOOKUP(B411,Calculations!$A$2:$B$10,2)+VLOOKUP(C411,Calculations!$C$2:$D$7,2)+VLOOKUP(D411,Calculations!$E$2:$F$6,2)+VLOOKUP(E411,Calculations!$G$2:$H$6,2)</f>
        <v>3453</v>
      </c>
      <c r="B411" t="s">
        <v>50</v>
      </c>
      <c r="C411" t="s">
        <v>17</v>
      </c>
      <c r="D411" t="s">
        <v>14</v>
      </c>
      <c r="E411" t="s">
        <v>27</v>
      </c>
      <c r="F411">
        <v>0</v>
      </c>
      <c r="G411">
        <v>0</v>
      </c>
      <c r="H411">
        <f t="shared" si="24"/>
        <v>0</v>
      </c>
      <c r="I411">
        <v>0</v>
      </c>
      <c r="J411">
        <f t="shared" si="25"/>
        <v>0</v>
      </c>
      <c r="K411">
        <v>0</v>
      </c>
      <c r="L411">
        <f t="shared" si="26"/>
        <v>0</v>
      </c>
      <c r="M411">
        <v>0</v>
      </c>
      <c r="N411">
        <f t="shared" si="27"/>
        <v>0</v>
      </c>
    </row>
    <row r="412" spans="1:14" x14ac:dyDescent="0.25">
      <c r="A412">
        <f>VLOOKUP(B412,Calculations!$A$2:$B$10,2)+VLOOKUP(C412,Calculations!$C$2:$D$7,2)+VLOOKUP(D412,Calculations!$E$2:$F$6,2)+VLOOKUP(E412,Calculations!$G$2:$H$6,2)</f>
        <v>3454</v>
      </c>
      <c r="B412" t="s">
        <v>50</v>
      </c>
      <c r="C412" t="s">
        <v>17</v>
      </c>
      <c r="D412" t="s">
        <v>15</v>
      </c>
      <c r="E412" t="s">
        <v>27</v>
      </c>
      <c r="F412">
        <v>0</v>
      </c>
      <c r="G412">
        <v>0</v>
      </c>
      <c r="H412">
        <f t="shared" si="24"/>
        <v>0</v>
      </c>
      <c r="I412">
        <v>0</v>
      </c>
      <c r="J412">
        <f t="shared" si="25"/>
        <v>0</v>
      </c>
      <c r="K412">
        <v>0</v>
      </c>
      <c r="L412">
        <f t="shared" si="26"/>
        <v>0</v>
      </c>
      <c r="M412">
        <v>0</v>
      </c>
      <c r="N412">
        <f t="shared" si="27"/>
        <v>0</v>
      </c>
    </row>
    <row r="413" spans="1:14" x14ac:dyDescent="0.25">
      <c r="A413">
        <f>VLOOKUP(B413,Calculations!$A$2:$B$10,2)+VLOOKUP(C413,Calculations!$C$2:$D$7,2)+VLOOKUP(D413,Calculations!$E$2:$F$6,2)+VLOOKUP(E413,Calculations!$G$2:$H$6,2)</f>
        <v>3461</v>
      </c>
      <c r="B413" t="s">
        <v>51</v>
      </c>
      <c r="C413" t="s">
        <v>17</v>
      </c>
      <c r="D413" t="s">
        <v>54</v>
      </c>
      <c r="E413" t="s">
        <v>27</v>
      </c>
      <c r="F413">
        <v>1</v>
      </c>
      <c r="G413">
        <v>0</v>
      </c>
      <c r="H413">
        <f t="shared" si="24"/>
        <v>0</v>
      </c>
      <c r="I413">
        <v>1</v>
      </c>
      <c r="J413">
        <f t="shared" si="25"/>
        <v>3461</v>
      </c>
      <c r="K413">
        <v>1</v>
      </c>
      <c r="L413">
        <f t="shared" si="26"/>
        <v>3461</v>
      </c>
      <c r="M413">
        <v>1</v>
      </c>
      <c r="N413">
        <f t="shared" si="27"/>
        <v>3461</v>
      </c>
    </row>
    <row r="414" spans="1:14" x14ac:dyDescent="0.25">
      <c r="A414">
        <f>VLOOKUP(B414,Calculations!$A$2:$B$10,2)+VLOOKUP(C414,Calculations!$C$2:$D$7,2)+VLOOKUP(D414,Calculations!$E$2:$F$6,2)+VLOOKUP(E414,Calculations!$G$2:$H$6,2)</f>
        <v>3462</v>
      </c>
      <c r="B414" t="s">
        <v>51</v>
      </c>
      <c r="C414" t="s">
        <v>17</v>
      </c>
      <c r="D414" t="s">
        <v>13</v>
      </c>
      <c r="E414" t="s">
        <v>27</v>
      </c>
      <c r="F414">
        <v>1</v>
      </c>
      <c r="G414">
        <v>0</v>
      </c>
      <c r="H414">
        <f t="shared" si="24"/>
        <v>0</v>
      </c>
      <c r="I414">
        <v>1</v>
      </c>
      <c r="J414">
        <f t="shared" si="25"/>
        <v>3462</v>
      </c>
      <c r="K414">
        <v>1</v>
      </c>
      <c r="L414">
        <f t="shared" si="26"/>
        <v>3462</v>
      </c>
      <c r="M414">
        <v>1</v>
      </c>
      <c r="N414">
        <f t="shared" si="27"/>
        <v>3462</v>
      </c>
    </row>
    <row r="415" spans="1:14" x14ac:dyDescent="0.25">
      <c r="A415">
        <f>VLOOKUP(B415,Calculations!$A$2:$B$10,2)+VLOOKUP(C415,Calculations!$C$2:$D$7,2)+VLOOKUP(D415,Calculations!$E$2:$F$6,2)+VLOOKUP(E415,Calculations!$G$2:$H$6,2)</f>
        <v>3463</v>
      </c>
      <c r="B415" t="s">
        <v>51</v>
      </c>
      <c r="C415" t="s">
        <v>17</v>
      </c>
      <c r="D415" t="s">
        <v>14</v>
      </c>
      <c r="E415" t="s">
        <v>27</v>
      </c>
      <c r="F415">
        <v>1</v>
      </c>
      <c r="G415">
        <v>0</v>
      </c>
      <c r="H415">
        <f t="shared" si="24"/>
        <v>0</v>
      </c>
      <c r="I415">
        <v>1</v>
      </c>
      <c r="J415">
        <f t="shared" si="25"/>
        <v>3463</v>
      </c>
      <c r="K415">
        <v>1</v>
      </c>
      <c r="L415">
        <f t="shared" si="26"/>
        <v>3463</v>
      </c>
      <c r="M415">
        <v>1</v>
      </c>
      <c r="N415">
        <f t="shared" si="27"/>
        <v>3463</v>
      </c>
    </row>
    <row r="416" spans="1:14" x14ac:dyDescent="0.25">
      <c r="A416">
        <f>VLOOKUP(B416,Calculations!$A$2:$B$10,2)+VLOOKUP(C416,Calculations!$C$2:$D$7,2)+VLOOKUP(D416,Calculations!$E$2:$F$6,2)+VLOOKUP(E416,Calculations!$G$2:$H$6,2)</f>
        <v>3464</v>
      </c>
      <c r="B416" t="s">
        <v>51</v>
      </c>
      <c r="C416" t="s">
        <v>17</v>
      </c>
      <c r="D416" t="s">
        <v>15</v>
      </c>
      <c r="E416" t="s">
        <v>27</v>
      </c>
      <c r="F416">
        <v>1</v>
      </c>
      <c r="G416">
        <v>0</v>
      </c>
      <c r="H416">
        <f t="shared" si="24"/>
        <v>0</v>
      </c>
      <c r="I416">
        <v>1</v>
      </c>
      <c r="J416">
        <f t="shared" si="25"/>
        <v>3464</v>
      </c>
      <c r="K416">
        <v>1</v>
      </c>
      <c r="L416">
        <f t="shared" si="26"/>
        <v>3464</v>
      </c>
      <c r="M416">
        <v>1</v>
      </c>
      <c r="N416">
        <f t="shared" si="27"/>
        <v>3464</v>
      </c>
    </row>
    <row r="417" spans="1:14" x14ac:dyDescent="0.25">
      <c r="A417">
        <f>VLOOKUP(B417,Calculations!$A$2:$B$10,2)+VLOOKUP(C417,Calculations!$C$2:$D$7,2)+VLOOKUP(D417,Calculations!$E$2:$F$6,2)+VLOOKUP(E417,Calculations!$G$2:$H$6,2)</f>
        <v>3471</v>
      </c>
      <c r="B417" t="s">
        <v>52</v>
      </c>
      <c r="C417" t="s">
        <v>17</v>
      </c>
      <c r="D417" t="s">
        <v>54</v>
      </c>
      <c r="E417" t="s">
        <v>27</v>
      </c>
      <c r="F417">
        <v>1</v>
      </c>
      <c r="G417">
        <v>0</v>
      </c>
      <c r="H417">
        <f t="shared" si="24"/>
        <v>0</v>
      </c>
      <c r="I417">
        <v>1</v>
      </c>
      <c r="J417">
        <f t="shared" si="25"/>
        <v>3471</v>
      </c>
      <c r="K417">
        <v>1</v>
      </c>
      <c r="L417">
        <f t="shared" si="26"/>
        <v>3471</v>
      </c>
      <c r="M417">
        <v>1</v>
      </c>
      <c r="N417">
        <f t="shared" si="27"/>
        <v>3471</v>
      </c>
    </row>
    <row r="418" spans="1:14" x14ac:dyDescent="0.25">
      <c r="A418">
        <f>VLOOKUP(B418,Calculations!$A$2:$B$10,2)+VLOOKUP(C418,Calculations!$C$2:$D$7,2)+VLOOKUP(D418,Calculations!$E$2:$F$6,2)+VLOOKUP(E418,Calculations!$G$2:$H$6,2)</f>
        <v>3472</v>
      </c>
      <c r="B418" t="s">
        <v>52</v>
      </c>
      <c r="C418" t="s">
        <v>17</v>
      </c>
      <c r="D418" t="s">
        <v>13</v>
      </c>
      <c r="E418" t="s">
        <v>27</v>
      </c>
      <c r="F418">
        <v>1</v>
      </c>
      <c r="G418">
        <v>0</v>
      </c>
      <c r="H418">
        <f t="shared" si="24"/>
        <v>0</v>
      </c>
      <c r="I418">
        <v>1</v>
      </c>
      <c r="J418">
        <f t="shared" si="25"/>
        <v>3472</v>
      </c>
      <c r="K418">
        <v>1</v>
      </c>
      <c r="L418">
        <f t="shared" si="26"/>
        <v>3472</v>
      </c>
      <c r="M418">
        <v>1</v>
      </c>
      <c r="N418">
        <f t="shared" si="27"/>
        <v>3472</v>
      </c>
    </row>
    <row r="419" spans="1:14" x14ac:dyDescent="0.25">
      <c r="A419">
        <f>VLOOKUP(B419,Calculations!$A$2:$B$10,2)+VLOOKUP(C419,Calculations!$C$2:$D$7,2)+VLOOKUP(D419,Calculations!$E$2:$F$6,2)+VLOOKUP(E419,Calculations!$G$2:$H$6,2)</f>
        <v>3473</v>
      </c>
      <c r="B419" t="s">
        <v>52</v>
      </c>
      <c r="C419" t="s">
        <v>17</v>
      </c>
      <c r="D419" t="s">
        <v>14</v>
      </c>
      <c r="E419" t="s">
        <v>27</v>
      </c>
      <c r="F419">
        <v>1</v>
      </c>
      <c r="G419">
        <v>0</v>
      </c>
      <c r="H419">
        <f t="shared" si="24"/>
        <v>0</v>
      </c>
      <c r="I419">
        <v>1</v>
      </c>
      <c r="J419">
        <f t="shared" si="25"/>
        <v>3473</v>
      </c>
      <c r="K419">
        <v>1</v>
      </c>
      <c r="L419">
        <f t="shared" si="26"/>
        <v>3473</v>
      </c>
      <c r="M419">
        <v>1</v>
      </c>
      <c r="N419">
        <f t="shared" si="27"/>
        <v>3473</v>
      </c>
    </row>
    <row r="420" spans="1:14" x14ac:dyDescent="0.25">
      <c r="A420">
        <f>VLOOKUP(B420,Calculations!$A$2:$B$10,2)+VLOOKUP(C420,Calculations!$C$2:$D$7,2)+VLOOKUP(D420,Calculations!$E$2:$F$6,2)+VLOOKUP(E420,Calculations!$G$2:$H$6,2)</f>
        <v>3474</v>
      </c>
      <c r="B420" t="s">
        <v>52</v>
      </c>
      <c r="C420" t="s">
        <v>17</v>
      </c>
      <c r="D420" t="s">
        <v>15</v>
      </c>
      <c r="E420" t="s">
        <v>27</v>
      </c>
      <c r="F420">
        <v>1</v>
      </c>
      <c r="G420">
        <v>0</v>
      </c>
      <c r="H420">
        <f t="shared" si="24"/>
        <v>0</v>
      </c>
      <c r="I420">
        <v>1</v>
      </c>
      <c r="J420">
        <f t="shared" si="25"/>
        <v>3474</v>
      </c>
      <c r="K420">
        <v>1</v>
      </c>
      <c r="L420">
        <f t="shared" si="26"/>
        <v>3474</v>
      </c>
      <c r="M420">
        <v>1</v>
      </c>
      <c r="N420">
        <f t="shared" si="27"/>
        <v>3474</v>
      </c>
    </row>
    <row r="421" spans="1:14" x14ac:dyDescent="0.25">
      <c r="A421">
        <f>VLOOKUP(B421,Calculations!$A$2:$B$10,2)+VLOOKUP(C421,Calculations!$C$2:$D$7,2)+VLOOKUP(D421,Calculations!$E$2:$F$6,2)+VLOOKUP(E421,Calculations!$G$2:$H$6,2)</f>
        <v>3481</v>
      </c>
      <c r="B421" t="s">
        <v>8</v>
      </c>
      <c r="C421" t="s">
        <v>17</v>
      </c>
      <c r="D421" t="s">
        <v>54</v>
      </c>
      <c r="E421" t="s">
        <v>27</v>
      </c>
      <c r="F421">
        <v>0</v>
      </c>
      <c r="G421">
        <v>0</v>
      </c>
      <c r="H421">
        <f t="shared" si="24"/>
        <v>0</v>
      </c>
      <c r="I421">
        <v>0</v>
      </c>
      <c r="J421">
        <f t="shared" si="25"/>
        <v>0</v>
      </c>
      <c r="K421">
        <v>0</v>
      </c>
      <c r="L421">
        <f t="shared" si="26"/>
        <v>0</v>
      </c>
      <c r="M421">
        <v>0</v>
      </c>
      <c r="N421">
        <f t="shared" si="27"/>
        <v>0</v>
      </c>
    </row>
    <row r="422" spans="1:14" x14ac:dyDescent="0.25">
      <c r="A422">
        <f>VLOOKUP(B422,Calculations!$A$2:$B$10,2)+VLOOKUP(C422,Calculations!$C$2:$D$7,2)+VLOOKUP(D422,Calculations!$E$2:$F$6,2)+VLOOKUP(E422,Calculations!$G$2:$H$6,2)</f>
        <v>3482</v>
      </c>
      <c r="B422" t="s">
        <v>8</v>
      </c>
      <c r="C422" t="s">
        <v>17</v>
      </c>
      <c r="D422" t="s">
        <v>13</v>
      </c>
      <c r="E422" t="s">
        <v>27</v>
      </c>
      <c r="F422">
        <v>0</v>
      </c>
      <c r="G422">
        <v>0</v>
      </c>
      <c r="H422">
        <f t="shared" si="24"/>
        <v>0</v>
      </c>
      <c r="I422">
        <v>0</v>
      </c>
      <c r="J422">
        <f t="shared" si="25"/>
        <v>0</v>
      </c>
      <c r="K422">
        <v>0</v>
      </c>
      <c r="L422">
        <f t="shared" si="26"/>
        <v>0</v>
      </c>
      <c r="M422">
        <v>0</v>
      </c>
      <c r="N422">
        <f t="shared" si="27"/>
        <v>0</v>
      </c>
    </row>
    <row r="423" spans="1:14" x14ac:dyDescent="0.25">
      <c r="A423">
        <f>VLOOKUP(B423,Calculations!$A$2:$B$10,2)+VLOOKUP(C423,Calculations!$C$2:$D$7,2)+VLOOKUP(D423,Calculations!$E$2:$F$6,2)+VLOOKUP(E423,Calculations!$G$2:$H$6,2)</f>
        <v>3483</v>
      </c>
      <c r="B423" t="s">
        <v>8</v>
      </c>
      <c r="C423" t="s">
        <v>17</v>
      </c>
      <c r="D423" t="s">
        <v>14</v>
      </c>
      <c r="E423" t="s">
        <v>27</v>
      </c>
      <c r="F423">
        <v>0</v>
      </c>
      <c r="G423">
        <v>0</v>
      </c>
      <c r="H423">
        <f t="shared" si="24"/>
        <v>0</v>
      </c>
      <c r="I423">
        <v>0</v>
      </c>
      <c r="J423">
        <f t="shared" si="25"/>
        <v>0</v>
      </c>
      <c r="K423">
        <v>0</v>
      </c>
      <c r="L423">
        <f t="shared" si="26"/>
        <v>0</v>
      </c>
      <c r="M423">
        <v>0</v>
      </c>
      <c r="N423">
        <f t="shared" si="27"/>
        <v>0</v>
      </c>
    </row>
    <row r="424" spans="1:14" x14ac:dyDescent="0.25">
      <c r="A424">
        <f>VLOOKUP(B424,Calculations!$A$2:$B$10,2)+VLOOKUP(C424,Calculations!$C$2:$D$7,2)+VLOOKUP(D424,Calculations!$E$2:$F$6,2)+VLOOKUP(E424,Calculations!$G$2:$H$6,2)</f>
        <v>3484</v>
      </c>
      <c r="B424" t="s">
        <v>8</v>
      </c>
      <c r="C424" t="s">
        <v>17</v>
      </c>
      <c r="D424" t="s">
        <v>15</v>
      </c>
      <c r="E424" t="s">
        <v>27</v>
      </c>
      <c r="F424">
        <v>0</v>
      </c>
      <c r="G424">
        <v>0</v>
      </c>
      <c r="H424">
        <f t="shared" si="24"/>
        <v>0</v>
      </c>
      <c r="I424">
        <v>0</v>
      </c>
      <c r="J424">
        <f t="shared" si="25"/>
        <v>0</v>
      </c>
      <c r="K424">
        <v>0</v>
      </c>
      <c r="L424">
        <f t="shared" si="26"/>
        <v>0</v>
      </c>
      <c r="M424">
        <v>0</v>
      </c>
      <c r="N424">
        <f t="shared" si="27"/>
        <v>0</v>
      </c>
    </row>
    <row r="425" spans="1:14" x14ac:dyDescent="0.25">
      <c r="A425">
        <f>VLOOKUP(B425,Calculations!$A$2:$B$10,2)+VLOOKUP(C425,Calculations!$C$2:$D$7,2)+VLOOKUP(D425,Calculations!$E$2:$F$6,2)+VLOOKUP(E425,Calculations!$G$2:$H$6,2)</f>
        <v>3501</v>
      </c>
      <c r="B425" t="s">
        <v>5</v>
      </c>
      <c r="C425" t="s">
        <v>17</v>
      </c>
      <c r="D425" t="s">
        <v>54</v>
      </c>
      <c r="E425" t="s">
        <v>28</v>
      </c>
      <c r="F425">
        <v>1</v>
      </c>
      <c r="G425">
        <v>0</v>
      </c>
      <c r="H425">
        <f t="shared" si="24"/>
        <v>0</v>
      </c>
      <c r="I425">
        <v>1</v>
      </c>
      <c r="J425">
        <f t="shared" si="25"/>
        <v>3501</v>
      </c>
      <c r="K425">
        <v>1</v>
      </c>
      <c r="L425">
        <f t="shared" si="26"/>
        <v>3501</v>
      </c>
      <c r="M425">
        <v>1</v>
      </c>
      <c r="N425">
        <f t="shared" si="27"/>
        <v>3501</v>
      </c>
    </row>
    <row r="426" spans="1:14" x14ac:dyDescent="0.25">
      <c r="A426">
        <f>VLOOKUP(B426,Calculations!$A$2:$B$10,2)+VLOOKUP(C426,Calculations!$C$2:$D$7,2)+VLOOKUP(D426,Calculations!$E$2:$F$6,2)+VLOOKUP(E426,Calculations!$G$2:$H$6,2)</f>
        <v>3502</v>
      </c>
      <c r="B426" t="s">
        <v>5</v>
      </c>
      <c r="C426" t="s">
        <v>17</v>
      </c>
      <c r="D426" t="s">
        <v>13</v>
      </c>
      <c r="E426" t="s">
        <v>28</v>
      </c>
      <c r="F426">
        <v>1</v>
      </c>
      <c r="G426">
        <v>0</v>
      </c>
      <c r="H426">
        <f t="shared" si="24"/>
        <v>0</v>
      </c>
      <c r="I426">
        <v>1</v>
      </c>
      <c r="J426">
        <f t="shared" si="25"/>
        <v>3502</v>
      </c>
      <c r="K426">
        <v>1</v>
      </c>
      <c r="L426">
        <f t="shared" si="26"/>
        <v>3502</v>
      </c>
      <c r="M426">
        <v>1</v>
      </c>
      <c r="N426">
        <f t="shared" si="27"/>
        <v>3502</v>
      </c>
    </row>
    <row r="427" spans="1:14" x14ac:dyDescent="0.25">
      <c r="A427">
        <f>VLOOKUP(B427,Calculations!$A$2:$B$10,2)+VLOOKUP(C427,Calculations!$C$2:$D$7,2)+VLOOKUP(D427,Calculations!$E$2:$F$6,2)+VLOOKUP(E427,Calculations!$G$2:$H$6,2)</f>
        <v>3503</v>
      </c>
      <c r="B427" t="s">
        <v>5</v>
      </c>
      <c r="C427" t="s">
        <v>17</v>
      </c>
      <c r="D427" t="s">
        <v>14</v>
      </c>
      <c r="E427" t="s">
        <v>28</v>
      </c>
      <c r="F427">
        <v>1</v>
      </c>
      <c r="G427">
        <v>0</v>
      </c>
      <c r="H427">
        <f t="shared" si="24"/>
        <v>0</v>
      </c>
      <c r="I427">
        <v>1</v>
      </c>
      <c r="J427">
        <f t="shared" si="25"/>
        <v>3503</v>
      </c>
      <c r="K427">
        <v>1</v>
      </c>
      <c r="L427">
        <f t="shared" si="26"/>
        <v>3503</v>
      </c>
      <c r="M427">
        <v>0</v>
      </c>
      <c r="N427">
        <f t="shared" si="27"/>
        <v>0</v>
      </c>
    </row>
    <row r="428" spans="1:14" x14ac:dyDescent="0.25">
      <c r="A428">
        <f>VLOOKUP(B428,Calculations!$A$2:$B$10,2)+VLOOKUP(C428,Calculations!$C$2:$D$7,2)+VLOOKUP(D428,Calculations!$E$2:$F$6,2)+VLOOKUP(E428,Calculations!$G$2:$H$6,2)</f>
        <v>3504</v>
      </c>
      <c r="B428" t="s">
        <v>5</v>
      </c>
      <c r="C428" t="s">
        <v>17</v>
      </c>
      <c r="D428" t="s">
        <v>15</v>
      </c>
      <c r="E428" t="s">
        <v>28</v>
      </c>
      <c r="F428">
        <v>0</v>
      </c>
      <c r="G428">
        <v>0</v>
      </c>
      <c r="H428">
        <f t="shared" si="24"/>
        <v>0</v>
      </c>
      <c r="I428">
        <v>0</v>
      </c>
      <c r="J428">
        <f t="shared" si="25"/>
        <v>0</v>
      </c>
      <c r="K428">
        <v>0</v>
      </c>
      <c r="L428">
        <f t="shared" si="26"/>
        <v>0</v>
      </c>
      <c r="M428">
        <v>0</v>
      </c>
      <c r="N428">
        <f t="shared" si="27"/>
        <v>0</v>
      </c>
    </row>
    <row r="429" spans="1:14" x14ac:dyDescent="0.25">
      <c r="A429">
        <f>VLOOKUP(B429,Calculations!$A$2:$B$10,2)+VLOOKUP(C429,Calculations!$C$2:$D$7,2)+VLOOKUP(D429,Calculations!$E$2:$F$6,2)+VLOOKUP(E429,Calculations!$G$2:$H$6,2)</f>
        <v>3511</v>
      </c>
      <c r="B429" t="s">
        <v>6</v>
      </c>
      <c r="C429" t="s">
        <v>17</v>
      </c>
      <c r="D429" t="s">
        <v>54</v>
      </c>
      <c r="E429" t="s">
        <v>28</v>
      </c>
      <c r="F429">
        <v>1</v>
      </c>
      <c r="G429">
        <v>0</v>
      </c>
      <c r="H429">
        <f t="shared" si="24"/>
        <v>0</v>
      </c>
      <c r="I429">
        <v>1</v>
      </c>
      <c r="J429">
        <f t="shared" si="25"/>
        <v>3511</v>
      </c>
      <c r="K429">
        <v>1</v>
      </c>
      <c r="L429">
        <f t="shared" si="26"/>
        <v>3511</v>
      </c>
      <c r="M429">
        <v>1</v>
      </c>
      <c r="N429">
        <f t="shared" si="27"/>
        <v>3511</v>
      </c>
    </row>
    <row r="430" spans="1:14" x14ac:dyDescent="0.25">
      <c r="A430">
        <f>VLOOKUP(B430,Calculations!$A$2:$B$10,2)+VLOOKUP(C430,Calculations!$C$2:$D$7,2)+VLOOKUP(D430,Calculations!$E$2:$F$6,2)+VLOOKUP(E430,Calculations!$G$2:$H$6,2)</f>
        <v>3512</v>
      </c>
      <c r="B430" t="s">
        <v>6</v>
      </c>
      <c r="C430" t="s">
        <v>17</v>
      </c>
      <c r="D430" t="s">
        <v>13</v>
      </c>
      <c r="E430" t="s">
        <v>28</v>
      </c>
      <c r="F430">
        <v>1</v>
      </c>
      <c r="G430">
        <v>0</v>
      </c>
      <c r="H430">
        <f t="shared" si="24"/>
        <v>0</v>
      </c>
      <c r="I430">
        <v>1</v>
      </c>
      <c r="J430">
        <f t="shared" si="25"/>
        <v>3512</v>
      </c>
      <c r="K430">
        <v>1</v>
      </c>
      <c r="L430">
        <f t="shared" si="26"/>
        <v>3512</v>
      </c>
      <c r="M430">
        <v>1</v>
      </c>
      <c r="N430">
        <f t="shared" si="27"/>
        <v>3512</v>
      </c>
    </row>
    <row r="431" spans="1:14" x14ac:dyDescent="0.25">
      <c r="A431">
        <f>VLOOKUP(B431,Calculations!$A$2:$B$10,2)+VLOOKUP(C431,Calculations!$C$2:$D$7,2)+VLOOKUP(D431,Calculations!$E$2:$F$6,2)+VLOOKUP(E431,Calculations!$G$2:$H$6,2)</f>
        <v>3513</v>
      </c>
      <c r="B431" t="s">
        <v>6</v>
      </c>
      <c r="C431" t="s">
        <v>17</v>
      </c>
      <c r="D431" t="s">
        <v>14</v>
      </c>
      <c r="E431" t="s">
        <v>28</v>
      </c>
      <c r="F431">
        <v>1</v>
      </c>
      <c r="G431">
        <v>0</v>
      </c>
      <c r="H431">
        <f t="shared" si="24"/>
        <v>0</v>
      </c>
      <c r="I431">
        <v>1</v>
      </c>
      <c r="J431">
        <f t="shared" si="25"/>
        <v>3513</v>
      </c>
      <c r="K431">
        <v>1</v>
      </c>
      <c r="L431">
        <f t="shared" si="26"/>
        <v>3513</v>
      </c>
      <c r="M431">
        <v>0</v>
      </c>
      <c r="N431">
        <f t="shared" si="27"/>
        <v>0</v>
      </c>
    </row>
    <row r="432" spans="1:14" x14ac:dyDescent="0.25">
      <c r="A432">
        <f>VLOOKUP(B432,Calculations!$A$2:$B$10,2)+VLOOKUP(C432,Calculations!$C$2:$D$7,2)+VLOOKUP(D432,Calculations!$E$2:$F$6,2)+VLOOKUP(E432,Calculations!$G$2:$H$6,2)</f>
        <v>3514</v>
      </c>
      <c r="B432" t="s">
        <v>6</v>
      </c>
      <c r="C432" t="s">
        <v>17</v>
      </c>
      <c r="D432" t="s">
        <v>15</v>
      </c>
      <c r="E432" t="s">
        <v>28</v>
      </c>
      <c r="F432">
        <v>0</v>
      </c>
      <c r="G432">
        <v>0</v>
      </c>
      <c r="H432">
        <f t="shared" si="24"/>
        <v>0</v>
      </c>
      <c r="I432">
        <v>0</v>
      </c>
      <c r="J432">
        <f t="shared" si="25"/>
        <v>0</v>
      </c>
      <c r="K432">
        <v>0</v>
      </c>
      <c r="L432">
        <f t="shared" si="26"/>
        <v>0</v>
      </c>
      <c r="M432">
        <v>0</v>
      </c>
      <c r="N432">
        <f t="shared" si="27"/>
        <v>0</v>
      </c>
    </row>
    <row r="433" spans="1:14" x14ac:dyDescent="0.25">
      <c r="A433">
        <f>VLOOKUP(B433,Calculations!$A$2:$B$10,2)+VLOOKUP(C433,Calculations!$C$2:$D$7,2)+VLOOKUP(D433,Calculations!$E$2:$F$6,2)+VLOOKUP(E433,Calculations!$G$2:$H$6,2)</f>
        <v>3521</v>
      </c>
      <c r="B433" t="s">
        <v>7</v>
      </c>
      <c r="C433" t="s">
        <v>17</v>
      </c>
      <c r="D433" t="s">
        <v>54</v>
      </c>
      <c r="E433" t="s">
        <v>28</v>
      </c>
      <c r="F433">
        <v>1</v>
      </c>
      <c r="G433">
        <v>0</v>
      </c>
      <c r="H433">
        <f t="shared" si="24"/>
        <v>0</v>
      </c>
      <c r="I433">
        <v>1</v>
      </c>
      <c r="J433">
        <f t="shared" si="25"/>
        <v>3521</v>
      </c>
      <c r="K433">
        <v>1</v>
      </c>
      <c r="L433">
        <f t="shared" si="26"/>
        <v>3521</v>
      </c>
      <c r="M433">
        <v>1</v>
      </c>
      <c r="N433">
        <f t="shared" si="27"/>
        <v>3521</v>
      </c>
    </row>
    <row r="434" spans="1:14" x14ac:dyDescent="0.25">
      <c r="A434">
        <f>VLOOKUP(B434,Calculations!$A$2:$B$10,2)+VLOOKUP(C434,Calculations!$C$2:$D$7,2)+VLOOKUP(D434,Calculations!$E$2:$F$6,2)+VLOOKUP(E434,Calculations!$G$2:$H$6,2)</f>
        <v>3522</v>
      </c>
      <c r="B434" t="s">
        <v>7</v>
      </c>
      <c r="C434" t="s">
        <v>17</v>
      </c>
      <c r="D434" t="s">
        <v>13</v>
      </c>
      <c r="E434" t="s">
        <v>28</v>
      </c>
      <c r="F434">
        <v>1</v>
      </c>
      <c r="G434">
        <v>0</v>
      </c>
      <c r="H434">
        <f t="shared" si="24"/>
        <v>0</v>
      </c>
      <c r="I434">
        <v>1</v>
      </c>
      <c r="J434">
        <f t="shared" si="25"/>
        <v>3522</v>
      </c>
      <c r="K434">
        <v>1</v>
      </c>
      <c r="L434">
        <f t="shared" si="26"/>
        <v>3522</v>
      </c>
      <c r="M434">
        <v>1</v>
      </c>
      <c r="N434">
        <f t="shared" si="27"/>
        <v>3522</v>
      </c>
    </row>
    <row r="435" spans="1:14" x14ac:dyDescent="0.25">
      <c r="A435">
        <f>VLOOKUP(B435,Calculations!$A$2:$B$10,2)+VLOOKUP(C435,Calculations!$C$2:$D$7,2)+VLOOKUP(D435,Calculations!$E$2:$F$6,2)+VLOOKUP(E435,Calculations!$G$2:$H$6,2)</f>
        <v>3523</v>
      </c>
      <c r="B435" t="s">
        <v>7</v>
      </c>
      <c r="C435" t="s">
        <v>17</v>
      </c>
      <c r="D435" t="s">
        <v>14</v>
      </c>
      <c r="E435" t="s">
        <v>28</v>
      </c>
      <c r="F435">
        <v>1</v>
      </c>
      <c r="G435">
        <v>0</v>
      </c>
      <c r="H435">
        <f t="shared" si="24"/>
        <v>0</v>
      </c>
      <c r="I435">
        <v>1</v>
      </c>
      <c r="J435">
        <f t="shared" si="25"/>
        <v>3523</v>
      </c>
      <c r="K435">
        <v>1</v>
      </c>
      <c r="L435">
        <f t="shared" si="26"/>
        <v>3523</v>
      </c>
      <c r="M435">
        <v>0</v>
      </c>
      <c r="N435">
        <f t="shared" si="27"/>
        <v>0</v>
      </c>
    </row>
    <row r="436" spans="1:14" x14ac:dyDescent="0.25">
      <c r="A436">
        <f>VLOOKUP(B436,Calculations!$A$2:$B$10,2)+VLOOKUP(C436,Calculations!$C$2:$D$7,2)+VLOOKUP(D436,Calculations!$E$2:$F$6,2)+VLOOKUP(E436,Calculations!$G$2:$H$6,2)</f>
        <v>3524</v>
      </c>
      <c r="B436" t="s">
        <v>7</v>
      </c>
      <c r="C436" t="s">
        <v>17</v>
      </c>
      <c r="D436" t="s">
        <v>15</v>
      </c>
      <c r="E436" t="s">
        <v>28</v>
      </c>
      <c r="F436">
        <v>1</v>
      </c>
      <c r="G436">
        <v>0</v>
      </c>
      <c r="H436">
        <f t="shared" si="24"/>
        <v>0</v>
      </c>
      <c r="I436">
        <v>1</v>
      </c>
      <c r="J436">
        <f t="shared" si="25"/>
        <v>3524</v>
      </c>
      <c r="K436">
        <v>1</v>
      </c>
      <c r="L436">
        <f t="shared" si="26"/>
        <v>3524</v>
      </c>
      <c r="M436">
        <v>0</v>
      </c>
      <c r="N436">
        <f t="shared" si="27"/>
        <v>0</v>
      </c>
    </row>
    <row r="437" spans="1:14" x14ac:dyDescent="0.25">
      <c r="A437">
        <f>VLOOKUP(B437,Calculations!$A$2:$B$10,2)+VLOOKUP(C437,Calculations!$C$2:$D$7,2)+VLOOKUP(D437,Calculations!$E$2:$F$6,2)+VLOOKUP(E437,Calculations!$G$2:$H$6,2)</f>
        <v>3531</v>
      </c>
      <c r="B437" t="s">
        <v>53</v>
      </c>
      <c r="C437" t="s">
        <v>17</v>
      </c>
      <c r="D437" t="s">
        <v>54</v>
      </c>
      <c r="E437" t="s">
        <v>28</v>
      </c>
      <c r="F437">
        <v>1</v>
      </c>
      <c r="G437">
        <v>0</v>
      </c>
      <c r="H437">
        <f t="shared" si="24"/>
        <v>0</v>
      </c>
      <c r="I437">
        <v>1</v>
      </c>
      <c r="J437">
        <f t="shared" si="25"/>
        <v>3531</v>
      </c>
      <c r="K437">
        <v>1</v>
      </c>
      <c r="L437">
        <f t="shared" si="26"/>
        <v>3531</v>
      </c>
      <c r="M437">
        <v>1</v>
      </c>
      <c r="N437">
        <f t="shared" si="27"/>
        <v>3531</v>
      </c>
    </row>
    <row r="438" spans="1:14" x14ac:dyDescent="0.25">
      <c r="A438">
        <f>VLOOKUP(B438,Calculations!$A$2:$B$10,2)+VLOOKUP(C438,Calculations!$C$2:$D$7,2)+VLOOKUP(D438,Calculations!$E$2:$F$6,2)+VLOOKUP(E438,Calculations!$G$2:$H$6,2)</f>
        <v>3532</v>
      </c>
      <c r="B438" t="s">
        <v>53</v>
      </c>
      <c r="C438" t="s">
        <v>17</v>
      </c>
      <c r="D438" t="s">
        <v>13</v>
      </c>
      <c r="E438" t="s">
        <v>28</v>
      </c>
      <c r="F438">
        <v>1</v>
      </c>
      <c r="G438">
        <v>0</v>
      </c>
      <c r="H438">
        <f t="shared" si="24"/>
        <v>0</v>
      </c>
      <c r="I438">
        <v>1</v>
      </c>
      <c r="J438">
        <f t="shared" si="25"/>
        <v>3532</v>
      </c>
      <c r="K438">
        <v>1</v>
      </c>
      <c r="L438">
        <f t="shared" si="26"/>
        <v>3532</v>
      </c>
      <c r="M438">
        <v>1</v>
      </c>
      <c r="N438">
        <f t="shared" si="27"/>
        <v>3532</v>
      </c>
    </row>
    <row r="439" spans="1:14" x14ac:dyDescent="0.25">
      <c r="A439">
        <f>VLOOKUP(B439,Calculations!$A$2:$B$10,2)+VLOOKUP(C439,Calculations!$C$2:$D$7,2)+VLOOKUP(D439,Calculations!$E$2:$F$6,2)+VLOOKUP(E439,Calculations!$G$2:$H$6,2)</f>
        <v>3533</v>
      </c>
      <c r="B439" t="s">
        <v>53</v>
      </c>
      <c r="C439" t="s">
        <v>17</v>
      </c>
      <c r="D439" t="s">
        <v>14</v>
      </c>
      <c r="E439" t="s">
        <v>28</v>
      </c>
      <c r="F439">
        <v>1</v>
      </c>
      <c r="G439">
        <v>0</v>
      </c>
      <c r="H439">
        <f t="shared" si="24"/>
        <v>0</v>
      </c>
      <c r="I439">
        <v>1</v>
      </c>
      <c r="J439">
        <f t="shared" si="25"/>
        <v>3533</v>
      </c>
      <c r="K439">
        <v>1</v>
      </c>
      <c r="L439">
        <f t="shared" si="26"/>
        <v>3533</v>
      </c>
      <c r="M439">
        <v>0</v>
      </c>
      <c r="N439">
        <f t="shared" si="27"/>
        <v>0</v>
      </c>
    </row>
    <row r="440" spans="1:14" x14ac:dyDescent="0.25">
      <c r="A440">
        <f>VLOOKUP(B440,Calculations!$A$2:$B$10,2)+VLOOKUP(C440,Calculations!$C$2:$D$7,2)+VLOOKUP(D440,Calculations!$E$2:$F$6,2)+VLOOKUP(E440,Calculations!$G$2:$H$6,2)</f>
        <v>3534</v>
      </c>
      <c r="B440" t="s">
        <v>53</v>
      </c>
      <c r="C440" t="s">
        <v>17</v>
      </c>
      <c r="D440" t="s">
        <v>15</v>
      </c>
      <c r="E440" t="s">
        <v>28</v>
      </c>
      <c r="F440">
        <v>1</v>
      </c>
      <c r="G440">
        <v>0</v>
      </c>
      <c r="H440">
        <f t="shared" si="24"/>
        <v>0</v>
      </c>
      <c r="I440">
        <v>1</v>
      </c>
      <c r="J440">
        <f t="shared" si="25"/>
        <v>3534</v>
      </c>
      <c r="K440">
        <v>1</v>
      </c>
      <c r="L440">
        <f t="shared" si="26"/>
        <v>3534</v>
      </c>
      <c r="M440">
        <v>0</v>
      </c>
      <c r="N440">
        <f t="shared" si="27"/>
        <v>0</v>
      </c>
    </row>
    <row r="441" spans="1:14" x14ac:dyDescent="0.25">
      <c r="A441">
        <f>VLOOKUP(B441,Calculations!$A$2:$B$10,2)+VLOOKUP(C441,Calculations!$C$2:$D$7,2)+VLOOKUP(D441,Calculations!$E$2:$F$6,2)+VLOOKUP(E441,Calculations!$G$2:$H$6,2)</f>
        <v>3541</v>
      </c>
      <c r="B441" t="s">
        <v>9</v>
      </c>
      <c r="C441" t="s">
        <v>17</v>
      </c>
      <c r="D441" t="s">
        <v>54</v>
      </c>
      <c r="E441" t="s">
        <v>28</v>
      </c>
      <c r="F441">
        <v>1</v>
      </c>
      <c r="G441">
        <v>0</v>
      </c>
      <c r="H441">
        <f t="shared" si="24"/>
        <v>0</v>
      </c>
      <c r="I441">
        <v>1</v>
      </c>
      <c r="J441">
        <f t="shared" si="25"/>
        <v>3541</v>
      </c>
      <c r="K441">
        <v>1</v>
      </c>
      <c r="L441">
        <f t="shared" si="26"/>
        <v>3541</v>
      </c>
      <c r="M441">
        <v>1</v>
      </c>
      <c r="N441">
        <f t="shared" si="27"/>
        <v>3541</v>
      </c>
    </row>
    <row r="442" spans="1:14" x14ac:dyDescent="0.25">
      <c r="A442">
        <f>VLOOKUP(B442,Calculations!$A$2:$B$10,2)+VLOOKUP(C442,Calculations!$C$2:$D$7,2)+VLOOKUP(D442,Calculations!$E$2:$F$6,2)+VLOOKUP(E442,Calculations!$G$2:$H$6,2)</f>
        <v>3542</v>
      </c>
      <c r="B442" t="s">
        <v>9</v>
      </c>
      <c r="C442" t="s">
        <v>17</v>
      </c>
      <c r="D442" t="s">
        <v>13</v>
      </c>
      <c r="E442" t="s">
        <v>28</v>
      </c>
      <c r="F442">
        <v>0</v>
      </c>
      <c r="G442">
        <v>0</v>
      </c>
      <c r="H442">
        <f t="shared" si="24"/>
        <v>0</v>
      </c>
      <c r="I442">
        <v>0</v>
      </c>
      <c r="J442">
        <f t="shared" si="25"/>
        <v>0</v>
      </c>
      <c r="K442">
        <v>0</v>
      </c>
      <c r="L442">
        <f t="shared" si="26"/>
        <v>0</v>
      </c>
      <c r="M442">
        <v>0</v>
      </c>
      <c r="N442">
        <f t="shared" si="27"/>
        <v>0</v>
      </c>
    </row>
    <row r="443" spans="1:14" x14ac:dyDescent="0.25">
      <c r="A443">
        <f>VLOOKUP(B443,Calculations!$A$2:$B$10,2)+VLOOKUP(C443,Calculations!$C$2:$D$7,2)+VLOOKUP(D443,Calculations!$E$2:$F$6,2)+VLOOKUP(E443,Calculations!$G$2:$H$6,2)</f>
        <v>3543</v>
      </c>
      <c r="B443" t="s">
        <v>9</v>
      </c>
      <c r="C443" t="s">
        <v>17</v>
      </c>
      <c r="D443" t="s">
        <v>14</v>
      </c>
      <c r="E443" t="s">
        <v>28</v>
      </c>
      <c r="F443">
        <v>0</v>
      </c>
      <c r="G443">
        <v>0</v>
      </c>
      <c r="H443">
        <f t="shared" si="24"/>
        <v>0</v>
      </c>
      <c r="I443">
        <v>0</v>
      </c>
      <c r="J443">
        <f t="shared" si="25"/>
        <v>0</v>
      </c>
      <c r="K443">
        <v>0</v>
      </c>
      <c r="L443">
        <f t="shared" si="26"/>
        <v>0</v>
      </c>
      <c r="M443">
        <v>0</v>
      </c>
      <c r="N443">
        <f t="shared" si="27"/>
        <v>0</v>
      </c>
    </row>
    <row r="444" spans="1:14" x14ac:dyDescent="0.25">
      <c r="A444">
        <f>VLOOKUP(B444,Calculations!$A$2:$B$10,2)+VLOOKUP(C444,Calculations!$C$2:$D$7,2)+VLOOKUP(D444,Calculations!$E$2:$F$6,2)+VLOOKUP(E444,Calculations!$G$2:$H$6,2)</f>
        <v>3544</v>
      </c>
      <c r="B444" t="s">
        <v>9</v>
      </c>
      <c r="C444" t="s">
        <v>17</v>
      </c>
      <c r="D444" t="s">
        <v>15</v>
      </c>
      <c r="E444" t="s">
        <v>28</v>
      </c>
      <c r="F444">
        <v>0</v>
      </c>
      <c r="G444">
        <v>0</v>
      </c>
      <c r="H444">
        <f t="shared" si="24"/>
        <v>0</v>
      </c>
      <c r="I444">
        <v>0</v>
      </c>
      <c r="J444">
        <f t="shared" si="25"/>
        <v>0</v>
      </c>
      <c r="K444">
        <v>0</v>
      </c>
      <c r="L444">
        <f t="shared" si="26"/>
        <v>0</v>
      </c>
      <c r="M444">
        <v>0</v>
      </c>
      <c r="N444">
        <f t="shared" si="27"/>
        <v>0</v>
      </c>
    </row>
    <row r="445" spans="1:14" x14ac:dyDescent="0.25">
      <c r="A445">
        <f>VLOOKUP(B445,Calculations!$A$2:$B$10,2)+VLOOKUP(C445,Calculations!$C$2:$D$7,2)+VLOOKUP(D445,Calculations!$E$2:$F$6,2)+VLOOKUP(E445,Calculations!$G$2:$H$6,2)</f>
        <v>3551</v>
      </c>
      <c r="B445" t="s">
        <v>50</v>
      </c>
      <c r="C445" t="s">
        <v>17</v>
      </c>
      <c r="D445" t="s">
        <v>54</v>
      </c>
      <c r="E445" t="s">
        <v>28</v>
      </c>
      <c r="F445">
        <v>0</v>
      </c>
      <c r="G445">
        <v>0</v>
      </c>
      <c r="H445">
        <f t="shared" si="24"/>
        <v>0</v>
      </c>
      <c r="I445">
        <v>0</v>
      </c>
      <c r="J445">
        <f t="shared" si="25"/>
        <v>0</v>
      </c>
      <c r="K445">
        <v>0</v>
      </c>
      <c r="L445">
        <f t="shared" si="26"/>
        <v>0</v>
      </c>
      <c r="M445">
        <v>0</v>
      </c>
      <c r="N445">
        <f t="shared" si="27"/>
        <v>0</v>
      </c>
    </row>
    <row r="446" spans="1:14" x14ac:dyDescent="0.25">
      <c r="A446">
        <f>VLOOKUP(B446,Calculations!$A$2:$B$10,2)+VLOOKUP(C446,Calculations!$C$2:$D$7,2)+VLOOKUP(D446,Calculations!$E$2:$F$6,2)+VLOOKUP(E446,Calculations!$G$2:$H$6,2)</f>
        <v>3552</v>
      </c>
      <c r="B446" t="s">
        <v>50</v>
      </c>
      <c r="C446" t="s">
        <v>17</v>
      </c>
      <c r="D446" t="s">
        <v>13</v>
      </c>
      <c r="E446" t="s">
        <v>28</v>
      </c>
      <c r="F446">
        <v>0</v>
      </c>
      <c r="G446">
        <v>0</v>
      </c>
      <c r="H446">
        <f t="shared" si="24"/>
        <v>0</v>
      </c>
      <c r="I446">
        <v>0</v>
      </c>
      <c r="J446">
        <f t="shared" si="25"/>
        <v>0</v>
      </c>
      <c r="K446">
        <v>0</v>
      </c>
      <c r="L446">
        <f t="shared" si="26"/>
        <v>0</v>
      </c>
      <c r="M446">
        <v>0</v>
      </c>
      <c r="N446">
        <f t="shared" si="27"/>
        <v>0</v>
      </c>
    </row>
    <row r="447" spans="1:14" x14ac:dyDescent="0.25">
      <c r="A447">
        <f>VLOOKUP(B447,Calculations!$A$2:$B$10,2)+VLOOKUP(C447,Calculations!$C$2:$D$7,2)+VLOOKUP(D447,Calculations!$E$2:$F$6,2)+VLOOKUP(E447,Calculations!$G$2:$H$6,2)</f>
        <v>3553</v>
      </c>
      <c r="B447" t="s">
        <v>50</v>
      </c>
      <c r="C447" t="s">
        <v>17</v>
      </c>
      <c r="D447" t="s">
        <v>14</v>
      </c>
      <c r="E447" t="s">
        <v>28</v>
      </c>
      <c r="F447">
        <v>0</v>
      </c>
      <c r="G447">
        <v>0</v>
      </c>
      <c r="H447">
        <f t="shared" si="24"/>
        <v>0</v>
      </c>
      <c r="I447">
        <v>0</v>
      </c>
      <c r="J447">
        <f t="shared" si="25"/>
        <v>0</v>
      </c>
      <c r="K447">
        <v>0</v>
      </c>
      <c r="L447">
        <f t="shared" si="26"/>
        <v>0</v>
      </c>
      <c r="M447">
        <v>0</v>
      </c>
      <c r="N447">
        <f t="shared" si="27"/>
        <v>0</v>
      </c>
    </row>
    <row r="448" spans="1:14" x14ac:dyDescent="0.25">
      <c r="A448">
        <f>VLOOKUP(B448,Calculations!$A$2:$B$10,2)+VLOOKUP(C448,Calculations!$C$2:$D$7,2)+VLOOKUP(D448,Calculations!$E$2:$F$6,2)+VLOOKUP(E448,Calculations!$G$2:$H$6,2)</f>
        <v>3554</v>
      </c>
      <c r="B448" t="s">
        <v>50</v>
      </c>
      <c r="C448" t="s">
        <v>17</v>
      </c>
      <c r="D448" t="s">
        <v>15</v>
      </c>
      <c r="E448" t="s">
        <v>28</v>
      </c>
      <c r="F448">
        <v>0</v>
      </c>
      <c r="G448">
        <v>0</v>
      </c>
      <c r="H448">
        <f t="shared" si="24"/>
        <v>0</v>
      </c>
      <c r="I448">
        <v>0</v>
      </c>
      <c r="J448">
        <f t="shared" si="25"/>
        <v>0</v>
      </c>
      <c r="K448">
        <v>0</v>
      </c>
      <c r="L448">
        <f t="shared" si="26"/>
        <v>0</v>
      </c>
      <c r="M448">
        <v>0</v>
      </c>
      <c r="N448">
        <f t="shared" si="27"/>
        <v>0</v>
      </c>
    </row>
    <row r="449" spans="1:14" x14ac:dyDescent="0.25">
      <c r="A449">
        <f>VLOOKUP(B449,Calculations!$A$2:$B$10,2)+VLOOKUP(C449,Calculations!$C$2:$D$7,2)+VLOOKUP(D449,Calculations!$E$2:$F$6,2)+VLOOKUP(E449,Calculations!$G$2:$H$6,2)</f>
        <v>3561</v>
      </c>
      <c r="B449" t="s">
        <v>51</v>
      </c>
      <c r="C449" t="s">
        <v>17</v>
      </c>
      <c r="D449" t="s">
        <v>54</v>
      </c>
      <c r="E449" t="s">
        <v>28</v>
      </c>
      <c r="F449">
        <v>1</v>
      </c>
      <c r="G449">
        <v>0</v>
      </c>
      <c r="H449">
        <f t="shared" si="24"/>
        <v>0</v>
      </c>
      <c r="I449">
        <v>1</v>
      </c>
      <c r="J449">
        <f t="shared" si="25"/>
        <v>3561</v>
      </c>
      <c r="K449">
        <v>1</v>
      </c>
      <c r="L449">
        <f t="shared" si="26"/>
        <v>3561</v>
      </c>
      <c r="M449">
        <v>1</v>
      </c>
      <c r="N449">
        <f t="shared" si="27"/>
        <v>3561</v>
      </c>
    </row>
    <row r="450" spans="1:14" x14ac:dyDescent="0.25">
      <c r="A450">
        <f>VLOOKUP(B450,Calculations!$A$2:$B$10,2)+VLOOKUP(C450,Calculations!$C$2:$D$7,2)+VLOOKUP(D450,Calculations!$E$2:$F$6,2)+VLOOKUP(E450,Calculations!$G$2:$H$6,2)</f>
        <v>3562</v>
      </c>
      <c r="B450" t="s">
        <v>51</v>
      </c>
      <c r="C450" t="s">
        <v>17</v>
      </c>
      <c r="D450" t="s">
        <v>13</v>
      </c>
      <c r="E450" t="s">
        <v>28</v>
      </c>
      <c r="F450">
        <v>1</v>
      </c>
      <c r="G450">
        <v>0</v>
      </c>
      <c r="H450">
        <f t="shared" ref="H450:H513" si="28">A450*G450</f>
        <v>0</v>
      </c>
      <c r="I450">
        <v>1</v>
      </c>
      <c r="J450">
        <f t="shared" ref="J450:J513" si="29">A450*I450</f>
        <v>3562</v>
      </c>
      <c r="K450">
        <v>1</v>
      </c>
      <c r="L450">
        <f t="shared" ref="L450:L513" si="30">K450*A450</f>
        <v>3562</v>
      </c>
      <c r="M450">
        <v>1</v>
      </c>
      <c r="N450">
        <f t="shared" ref="N450:N513" si="31">A450*M450</f>
        <v>3562</v>
      </c>
    </row>
    <row r="451" spans="1:14" x14ac:dyDescent="0.25">
      <c r="A451">
        <f>VLOOKUP(B451,Calculations!$A$2:$B$10,2)+VLOOKUP(C451,Calculations!$C$2:$D$7,2)+VLOOKUP(D451,Calculations!$E$2:$F$6,2)+VLOOKUP(E451,Calculations!$G$2:$H$6,2)</f>
        <v>3563</v>
      </c>
      <c r="B451" t="s">
        <v>51</v>
      </c>
      <c r="C451" t="s">
        <v>17</v>
      </c>
      <c r="D451" t="s">
        <v>14</v>
      </c>
      <c r="E451" t="s">
        <v>28</v>
      </c>
      <c r="F451">
        <v>1</v>
      </c>
      <c r="G451">
        <v>0</v>
      </c>
      <c r="H451">
        <f t="shared" si="28"/>
        <v>0</v>
      </c>
      <c r="I451">
        <v>1</v>
      </c>
      <c r="J451">
        <f t="shared" si="29"/>
        <v>3563</v>
      </c>
      <c r="K451">
        <v>1</v>
      </c>
      <c r="L451">
        <f t="shared" si="30"/>
        <v>3563</v>
      </c>
      <c r="M451">
        <v>0</v>
      </c>
      <c r="N451">
        <f t="shared" si="31"/>
        <v>0</v>
      </c>
    </row>
    <row r="452" spans="1:14" x14ac:dyDescent="0.25">
      <c r="A452">
        <f>VLOOKUP(B452,Calculations!$A$2:$B$10,2)+VLOOKUP(C452,Calculations!$C$2:$D$7,2)+VLOOKUP(D452,Calculations!$E$2:$F$6,2)+VLOOKUP(E452,Calculations!$G$2:$H$6,2)</f>
        <v>3564</v>
      </c>
      <c r="B452" t="s">
        <v>51</v>
      </c>
      <c r="C452" t="s">
        <v>17</v>
      </c>
      <c r="D452" t="s">
        <v>15</v>
      </c>
      <c r="E452" t="s">
        <v>28</v>
      </c>
      <c r="F452">
        <v>1</v>
      </c>
      <c r="G452">
        <v>0</v>
      </c>
      <c r="H452">
        <f t="shared" si="28"/>
        <v>0</v>
      </c>
      <c r="I452">
        <v>1</v>
      </c>
      <c r="J452">
        <f t="shared" si="29"/>
        <v>3564</v>
      </c>
      <c r="K452">
        <v>1</v>
      </c>
      <c r="L452">
        <f t="shared" si="30"/>
        <v>3564</v>
      </c>
      <c r="M452">
        <v>0</v>
      </c>
      <c r="N452">
        <f t="shared" si="31"/>
        <v>0</v>
      </c>
    </row>
    <row r="453" spans="1:14" x14ac:dyDescent="0.25">
      <c r="A453">
        <f>VLOOKUP(B453,Calculations!$A$2:$B$10,2)+VLOOKUP(C453,Calculations!$C$2:$D$7,2)+VLOOKUP(D453,Calculations!$E$2:$F$6,2)+VLOOKUP(E453,Calculations!$G$2:$H$6,2)</f>
        <v>3571</v>
      </c>
      <c r="B453" t="s">
        <v>52</v>
      </c>
      <c r="C453" t="s">
        <v>17</v>
      </c>
      <c r="D453" t="s">
        <v>54</v>
      </c>
      <c r="E453" t="s">
        <v>28</v>
      </c>
      <c r="F453">
        <v>1</v>
      </c>
      <c r="G453">
        <v>0</v>
      </c>
      <c r="H453">
        <f t="shared" si="28"/>
        <v>0</v>
      </c>
      <c r="I453">
        <v>1</v>
      </c>
      <c r="J453">
        <f t="shared" si="29"/>
        <v>3571</v>
      </c>
      <c r="K453">
        <v>1</v>
      </c>
      <c r="L453">
        <f t="shared" si="30"/>
        <v>3571</v>
      </c>
      <c r="M453">
        <v>1</v>
      </c>
      <c r="N453">
        <f t="shared" si="31"/>
        <v>3571</v>
      </c>
    </row>
    <row r="454" spans="1:14" x14ac:dyDescent="0.25">
      <c r="A454">
        <f>VLOOKUP(B454,Calculations!$A$2:$B$10,2)+VLOOKUP(C454,Calculations!$C$2:$D$7,2)+VLOOKUP(D454,Calculations!$E$2:$F$6,2)+VLOOKUP(E454,Calculations!$G$2:$H$6,2)</f>
        <v>3572</v>
      </c>
      <c r="B454" t="s">
        <v>52</v>
      </c>
      <c r="C454" t="s">
        <v>17</v>
      </c>
      <c r="D454" t="s">
        <v>13</v>
      </c>
      <c r="E454" t="s">
        <v>28</v>
      </c>
      <c r="F454">
        <v>1</v>
      </c>
      <c r="G454">
        <v>0</v>
      </c>
      <c r="H454">
        <f t="shared" si="28"/>
        <v>0</v>
      </c>
      <c r="I454">
        <v>1</v>
      </c>
      <c r="J454">
        <f t="shared" si="29"/>
        <v>3572</v>
      </c>
      <c r="K454">
        <v>1</v>
      </c>
      <c r="L454">
        <f t="shared" si="30"/>
        <v>3572</v>
      </c>
      <c r="M454">
        <v>1</v>
      </c>
      <c r="N454">
        <f t="shared" si="31"/>
        <v>3572</v>
      </c>
    </row>
    <row r="455" spans="1:14" x14ac:dyDescent="0.25">
      <c r="A455">
        <f>VLOOKUP(B455,Calculations!$A$2:$B$10,2)+VLOOKUP(C455,Calculations!$C$2:$D$7,2)+VLOOKUP(D455,Calculations!$E$2:$F$6,2)+VLOOKUP(E455,Calculations!$G$2:$H$6,2)</f>
        <v>3573</v>
      </c>
      <c r="B455" t="s">
        <v>52</v>
      </c>
      <c r="C455" t="s">
        <v>17</v>
      </c>
      <c r="D455" t="s">
        <v>14</v>
      </c>
      <c r="E455" t="s">
        <v>28</v>
      </c>
      <c r="F455">
        <v>1</v>
      </c>
      <c r="G455">
        <v>0</v>
      </c>
      <c r="H455">
        <f t="shared" si="28"/>
        <v>0</v>
      </c>
      <c r="I455">
        <v>1</v>
      </c>
      <c r="J455">
        <f t="shared" si="29"/>
        <v>3573</v>
      </c>
      <c r="K455">
        <v>1</v>
      </c>
      <c r="L455">
        <f t="shared" si="30"/>
        <v>3573</v>
      </c>
      <c r="M455">
        <v>0</v>
      </c>
      <c r="N455">
        <f t="shared" si="31"/>
        <v>0</v>
      </c>
    </row>
    <row r="456" spans="1:14" x14ac:dyDescent="0.25">
      <c r="A456">
        <f>VLOOKUP(B456,Calculations!$A$2:$B$10,2)+VLOOKUP(C456,Calculations!$C$2:$D$7,2)+VLOOKUP(D456,Calculations!$E$2:$F$6,2)+VLOOKUP(E456,Calculations!$G$2:$H$6,2)</f>
        <v>3574</v>
      </c>
      <c r="B456" t="s">
        <v>52</v>
      </c>
      <c r="C456" t="s">
        <v>17</v>
      </c>
      <c r="D456" t="s">
        <v>15</v>
      </c>
      <c r="E456" t="s">
        <v>28</v>
      </c>
      <c r="F456">
        <v>1</v>
      </c>
      <c r="G456">
        <v>0</v>
      </c>
      <c r="H456">
        <f t="shared" si="28"/>
        <v>0</v>
      </c>
      <c r="I456">
        <v>1</v>
      </c>
      <c r="J456">
        <f t="shared" si="29"/>
        <v>3574</v>
      </c>
      <c r="K456">
        <v>1</v>
      </c>
      <c r="L456">
        <f t="shared" si="30"/>
        <v>3574</v>
      </c>
      <c r="M456">
        <v>0</v>
      </c>
      <c r="N456">
        <f t="shared" si="31"/>
        <v>0</v>
      </c>
    </row>
    <row r="457" spans="1:14" x14ac:dyDescent="0.25">
      <c r="A457">
        <f>VLOOKUP(B457,Calculations!$A$2:$B$10,2)+VLOOKUP(C457,Calculations!$C$2:$D$7,2)+VLOOKUP(D457,Calculations!$E$2:$F$6,2)+VLOOKUP(E457,Calculations!$G$2:$H$6,2)</f>
        <v>3581</v>
      </c>
      <c r="B457" t="s">
        <v>8</v>
      </c>
      <c r="C457" t="s">
        <v>17</v>
      </c>
      <c r="D457" t="s">
        <v>54</v>
      </c>
      <c r="E457" t="s">
        <v>28</v>
      </c>
      <c r="F457">
        <v>0</v>
      </c>
      <c r="G457">
        <v>0</v>
      </c>
      <c r="H457">
        <f t="shared" si="28"/>
        <v>0</v>
      </c>
      <c r="I457">
        <v>0</v>
      </c>
      <c r="J457">
        <f t="shared" si="29"/>
        <v>0</v>
      </c>
      <c r="K457">
        <v>0</v>
      </c>
      <c r="L457">
        <f t="shared" si="30"/>
        <v>0</v>
      </c>
      <c r="M457">
        <v>0</v>
      </c>
      <c r="N457">
        <f t="shared" si="31"/>
        <v>0</v>
      </c>
    </row>
    <row r="458" spans="1:14" x14ac:dyDescent="0.25">
      <c r="A458">
        <f>VLOOKUP(B458,Calculations!$A$2:$B$10,2)+VLOOKUP(C458,Calculations!$C$2:$D$7,2)+VLOOKUP(D458,Calculations!$E$2:$F$6,2)+VLOOKUP(E458,Calculations!$G$2:$H$6,2)</f>
        <v>3582</v>
      </c>
      <c r="B458" t="s">
        <v>8</v>
      </c>
      <c r="C458" t="s">
        <v>17</v>
      </c>
      <c r="D458" t="s">
        <v>13</v>
      </c>
      <c r="E458" t="s">
        <v>28</v>
      </c>
      <c r="F458">
        <v>0</v>
      </c>
      <c r="G458">
        <v>0</v>
      </c>
      <c r="H458">
        <f t="shared" si="28"/>
        <v>0</v>
      </c>
      <c r="I458">
        <v>0</v>
      </c>
      <c r="J458">
        <f t="shared" si="29"/>
        <v>0</v>
      </c>
      <c r="K458">
        <v>0</v>
      </c>
      <c r="L458">
        <f t="shared" si="30"/>
        <v>0</v>
      </c>
      <c r="M458">
        <v>0</v>
      </c>
      <c r="N458">
        <f t="shared" si="31"/>
        <v>0</v>
      </c>
    </row>
    <row r="459" spans="1:14" x14ac:dyDescent="0.25">
      <c r="A459">
        <f>VLOOKUP(B459,Calculations!$A$2:$B$10,2)+VLOOKUP(C459,Calculations!$C$2:$D$7,2)+VLOOKUP(D459,Calculations!$E$2:$F$6,2)+VLOOKUP(E459,Calculations!$G$2:$H$6,2)</f>
        <v>3583</v>
      </c>
      <c r="B459" t="s">
        <v>8</v>
      </c>
      <c r="C459" t="s">
        <v>17</v>
      </c>
      <c r="D459" t="s">
        <v>14</v>
      </c>
      <c r="E459" t="s">
        <v>28</v>
      </c>
      <c r="F459">
        <v>0</v>
      </c>
      <c r="G459">
        <v>0</v>
      </c>
      <c r="H459">
        <f t="shared" si="28"/>
        <v>0</v>
      </c>
      <c r="I459">
        <v>0</v>
      </c>
      <c r="J459">
        <f t="shared" si="29"/>
        <v>0</v>
      </c>
      <c r="K459">
        <v>0</v>
      </c>
      <c r="L459">
        <f t="shared" si="30"/>
        <v>0</v>
      </c>
      <c r="M459">
        <v>0</v>
      </c>
      <c r="N459">
        <f t="shared" si="31"/>
        <v>0</v>
      </c>
    </row>
    <row r="460" spans="1:14" x14ac:dyDescent="0.25">
      <c r="A460">
        <f>VLOOKUP(B460,Calculations!$A$2:$B$10,2)+VLOOKUP(C460,Calculations!$C$2:$D$7,2)+VLOOKUP(D460,Calculations!$E$2:$F$6,2)+VLOOKUP(E460,Calculations!$G$2:$H$6,2)</f>
        <v>3584</v>
      </c>
      <c r="B460" t="s">
        <v>8</v>
      </c>
      <c r="C460" t="s">
        <v>17</v>
      </c>
      <c r="D460" t="s">
        <v>15</v>
      </c>
      <c r="E460" t="s">
        <v>28</v>
      </c>
      <c r="F460">
        <v>0</v>
      </c>
      <c r="G460">
        <v>0</v>
      </c>
      <c r="H460">
        <f t="shared" si="28"/>
        <v>0</v>
      </c>
      <c r="I460">
        <v>0</v>
      </c>
      <c r="J460">
        <f t="shared" si="29"/>
        <v>0</v>
      </c>
      <c r="K460">
        <v>0</v>
      </c>
      <c r="L460">
        <f t="shared" si="30"/>
        <v>0</v>
      </c>
      <c r="M460">
        <v>0</v>
      </c>
      <c r="N460">
        <f t="shared" si="31"/>
        <v>0</v>
      </c>
    </row>
    <row r="461" spans="1:14" x14ac:dyDescent="0.25">
      <c r="A461">
        <f>VLOOKUP(B461,Calculations!$A$2:$B$10,2)+VLOOKUP(C461,Calculations!$C$2:$D$7,2)+VLOOKUP(D461,Calculations!$E$2:$F$6,2)+VLOOKUP(E461,Calculations!$G$2:$H$6,2)</f>
        <v>4200</v>
      </c>
      <c r="B461" t="s">
        <v>5</v>
      </c>
      <c r="C461" t="s">
        <v>18</v>
      </c>
      <c r="D461" t="s">
        <v>12</v>
      </c>
      <c r="E461" t="s">
        <v>30</v>
      </c>
      <c r="F461">
        <v>1</v>
      </c>
      <c r="G461">
        <v>1</v>
      </c>
      <c r="H461">
        <f t="shared" si="28"/>
        <v>4200</v>
      </c>
      <c r="I461">
        <v>1</v>
      </c>
      <c r="J461">
        <f t="shared" si="29"/>
        <v>4200</v>
      </c>
      <c r="K461">
        <v>1</v>
      </c>
      <c r="L461">
        <f t="shared" si="30"/>
        <v>4200</v>
      </c>
      <c r="M461">
        <v>1</v>
      </c>
      <c r="N461">
        <f t="shared" si="31"/>
        <v>4200</v>
      </c>
    </row>
    <row r="462" spans="1:14" x14ac:dyDescent="0.25">
      <c r="A462">
        <f>VLOOKUP(B462,Calculations!$A$2:$B$10,2)+VLOOKUP(C462,Calculations!$C$2:$D$7,2)+VLOOKUP(D462,Calculations!$E$2:$F$6,2)+VLOOKUP(E462,Calculations!$G$2:$H$6,2)</f>
        <v>4210</v>
      </c>
      <c r="B462" t="s">
        <v>6</v>
      </c>
      <c r="C462" t="s">
        <v>18</v>
      </c>
      <c r="D462" t="s">
        <v>12</v>
      </c>
      <c r="E462" t="s">
        <v>30</v>
      </c>
      <c r="F462">
        <v>1</v>
      </c>
      <c r="G462">
        <v>1</v>
      </c>
      <c r="H462">
        <f t="shared" si="28"/>
        <v>4210</v>
      </c>
      <c r="I462">
        <v>1</v>
      </c>
      <c r="J462">
        <f t="shared" si="29"/>
        <v>4210</v>
      </c>
      <c r="K462">
        <v>1</v>
      </c>
      <c r="L462">
        <f t="shared" si="30"/>
        <v>4210</v>
      </c>
      <c r="M462">
        <v>1</v>
      </c>
      <c r="N462">
        <f t="shared" si="31"/>
        <v>4210</v>
      </c>
    </row>
    <row r="463" spans="1:14" x14ac:dyDescent="0.25">
      <c r="A463">
        <f>VLOOKUP(B463,Calculations!$A$2:$B$10,2)+VLOOKUP(C463,Calculations!$C$2:$D$7,2)+VLOOKUP(D463,Calculations!$E$2:$F$6,2)+VLOOKUP(E463,Calculations!$G$2:$H$6,2)</f>
        <v>4220</v>
      </c>
      <c r="B463" t="s">
        <v>7</v>
      </c>
      <c r="C463" t="s">
        <v>18</v>
      </c>
      <c r="D463" t="s">
        <v>12</v>
      </c>
      <c r="E463" t="s">
        <v>30</v>
      </c>
      <c r="F463">
        <v>1</v>
      </c>
      <c r="G463">
        <v>1</v>
      </c>
      <c r="H463">
        <f t="shared" si="28"/>
        <v>4220</v>
      </c>
      <c r="I463">
        <v>1</v>
      </c>
      <c r="J463">
        <f t="shared" si="29"/>
        <v>4220</v>
      </c>
      <c r="K463">
        <v>1</v>
      </c>
      <c r="L463">
        <f t="shared" si="30"/>
        <v>4220</v>
      </c>
      <c r="M463">
        <v>1</v>
      </c>
      <c r="N463">
        <f t="shared" si="31"/>
        <v>4220</v>
      </c>
    </row>
    <row r="464" spans="1:14" x14ac:dyDescent="0.25">
      <c r="A464">
        <f>VLOOKUP(B464,Calculations!$A$2:$B$10,2)+VLOOKUP(C464,Calculations!$C$2:$D$7,2)+VLOOKUP(D464,Calculations!$E$2:$F$6,2)+VLOOKUP(E464,Calculations!$G$2:$H$6,2)</f>
        <v>4230</v>
      </c>
      <c r="B464" t="s">
        <v>53</v>
      </c>
      <c r="C464" t="s">
        <v>18</v>
      </c>
      <c r="D464" t="s">
        <v>12</v>
      </c>
      <c r="E464" t="s">
        <v>30</v>
      </c>
      <c r="F464">
        <v>1</v>
      </c>
      <c r="G464">
        <v>1</v>
      </c>
      <c r="H464">
        <f t="shared" si="28"/>
        <v>4230</v>
      </c>
      <c r="I464">
        <v>1</v>
      </c>
      <c r="J464">
        <f t="shared" si="29"/>
        <v>4230</v>
      </c>
      <c r="K464">
        <v>1</v>
      </c>
      <c r="L464">
        <f t="shared" si="30"/>
        <v>4230</v>
      </c>
      <c r="M464">
        <v>1</v>
      </c>
      <c r="N464">
        <f t="shared" si="31"/>
        <v>4230</v>
      </c>
    </row>
    <row r="465" spans="1:14" x14ac:dyDescent="0.25">
      <c r="A465">
        <f>VLOOKUP(B465,Calculations!$A$2:$B$10,2)+VLOOKUP(C465,Calculations!$C$2:$D$7,2)+VLOOKUP(D465,Calculations!$E$2:$F$6,2)+VLOOKUP(E465,Calculations!$G$2:$H$6,2)</f>
        <v>4240</v>
      </c>
      <c r="B465" t="s">
        <v>9</v>
      </c>
      <c r="C465" t="s">
        <v>18</v>
      </c>
      <c r="D465" t="s">
        <v>12</v>
      </c>
      <c r="E465" t="s">
        <v>30</v>
      </c>
      <c r="F465">
        <v>1</v>
      </c>
      <c r="G465">
        <v>1</v>
      </c>
      <c r="H465">
        <f t="shared" si="28"/>
        <v>4240</v>
      </c>
      <c r="I465">
        <v>1</v>
      </c>
      <c r="J465">
        <f t="shared" si="29"/>
        <v>4240</v>
      </c>
      <c r="K465">
        <v>1</v>
      </c>
      <c r="L465">
        <f t="shared" si="30"/>
        <v>4240</v>
      </c>
      <c r="M465">
        <v>1</v>
      </c>
      <c r="N465">
        <f t="shared" si="31"/>
        <v>4240</v>
      </c>
    </row>
    <row r="466" spans="1:14" x14ac:dyDescent="0.25">
      <c r="A466">
        <f>VLOOKUP(B466,Calculations!$A$2:$B$10,2)+VLOOKUP(C466,Calculations!$C$2:$D$7,2)+VLOOKUP(D466,Calculations!$E$2:$F$6,2)+VLOOKUP(E466,Calculations!$G$2:$H$6,2)</f>
        <v>4250</v>
      </c>
      <c r="B466" t="s">
        <v>50</v>
      </c>
      <c r="C466" t="s">
        <v>18</v>
      </c>
      <c r="D466" t="s">
        <v>12</v>
      </c>
      <c r="E466" t="s">
        <v>30</v>
      </c>
      <c r="F466">
        <v>1</v>
      </c>
      <c r="G466">
        <v>0</v>
      </c>
      <c r="H466">
        <f t="shared" si="28"/>
        <v>0</v>
      </c>
      <c r="I466">
        <v>1</v>
      </c>
      <c r="J466">
        <f t="shared" si="29"/>
        <v>4250</v>
      </c>
      <c r="K466">
        <v>1</v>
      </c>
      <c r="L466">
        <f t="shared" si="30"/>
        <v>4250</v>
      </c>
      <c r="M466">
        <v>1</v>
      </c>
      <c r="N466">
        <f t="shared" si="31"/>
        <v>4250</v>
      </c>
    </row>
    <row r="467" spans="1:14" x14ac:dyDescent="0.25">
      <c r="A467">
        <f>VLOOKUP(B467,Calculations!$A$2:$B$10,2)+VLOOKUP(C467,Calculations!$C$2:$D$7,2)+VLOOKUP(D467,Calculations!$E$2:$F$6,2)+VLOOKUP(E467,Calculations!$G$2:$H$6,2)</f>
        <v>4260</v>
      </c>
      <c r="B467" t="s">
        <v>51</v>
      </c>
      <c r="C467" t="s">
        <v>18</v>
      </c>
      <c r="D467" t="s">
        <v>12</v>
      </c>
      <c r="E467" t="s">
        <v>30</v>
      </c>
      <c r="F467">
        <v>1</v>
      </c>
      <c r="G467">
        <v>0</v>
      </c>
      <c r="H467">
        <f t="shared" si="28"/>
        <v>0</v>
      </c>
      <c r="I467">
        <v>1</v>
      </c>
      <c r="J467">
        <f t="shared" si="29"/>
        <v>4260</v>
      </c>
      <c r="K467">
        <v>1</v>
      </c>
      <c r="L467">
        <f t="shared" si="30"/>
        <v>4260</v>
      </c>
      <c r="M467">
        <v>1</v>
      </c>
      <c r="N467">
        <f t="shared" si="31"/>
        <v>4260</v>
      </c>
    </row>
    <row r="468" spans="1:14" x14ac:dyDescent="0.25">
      <c r="A468">
        <f>VLOOKUP(B468,Calculations!$A$2:$B$10,2)+VLOOKUP(C468,Calculations!$C$2:$D$7,2)+VLOOKUP(D468,Calculations!$E$2:$F$6,2)+VLOOKUP(E468,Calculations!$G$2:$H$6,2)</f>
        <v>4270</v>
      </c>
      <c r="B468" t="s">
        <v>52</v>
      </c>
      <c r="C468" t="s">
        <v>18</v>
      </c>
      <c r="D468" t="s">
        <v>12</v>
      </c>
      <c r="E468" t="s">
        <v>30</v>
      </c>
      <c r="F468">
        <v>0</v>
      </c>
      <c r="G468">
        <v>0</v>
      </c>
      <c r="H468">
        <f t="shared" si="28"/>
        <v>0</v>
      </c>
      <c r="I468">
        <v>0</v>
      </c>
      <c r="J468">
        <f t="shared" si="29"/>
        <v>0</v>
      </c>
      <c r="K468">
        <v>0</v>
      </c>
      <c r="L468">
        <f t="shared" si="30"/>
        <v>0</v>
      </c>
      <c r="M468">
        <v>0</v>
      </c>
      <c r="N468">
        <f t="shared" si="31"/>
        <v>0</v>
      </c>
    </row>
    <row r="469" spans="1:14" x14ac:dyDescent="0.25">
      <c r="A469">
        <f>VLOOKUP(B469,Calculations!$A$2:$B$10,2)+VLOOKUP(C469,Calculations!$C$2:$D$7,2)+VLOOKUP(D469,Calculations!$E$2:$F$6,2)+VLOOKUP(E469,Calculations!$G$2:$H$6,2)</f>
        <v>4280</v>
      </c>
      <c r="B469" t="s">
        <v>8</v>
      </c>
      <c r="C469" t="s">
        <v>18</v>
      </c>
      <c r="D469" t="s">
        <v>12</v>
      </c>
      <c r="E469" t="s">
        <v>30</v>
      </c>
      <c r="F469">
        <v>1</v>
      </c>
      <c r="G469">
        <v>1</v>
      </c>
      <c r="H469">
        <f t="shared" si="28"/>
        <v>4280</v>
      </c>
      <c r="I469">
        <v>1</v>
      </c>
      <c r="J469">
        <f t="shared" si="29"/>
        <v>4280</v>
      </c>
      <c r="K469">
        <v>1</v>
      </c>
      <c r="L469">
        <f t="shared" si="30"/>
        <v>4280</v>
      </c>
      <c r="M469">
        <v>1</v>
      </c>
      <c r="N469">
        <f t="shared" si="31"/>
        <v>4280</v>
      </c>
    </row>
    <row r="470" spans="1:14" x14ac:dyDescent="0.25">
      <c r="A470">
        <f>VLOOKUP(B470,Calculations!$A$2:$B$10,2)+VLOOKUP(C470,Calculations!$C$2:$D$7,2)+VLOOKUP(D470,Calculations!$E$2:$F$6,2)+VLOOKUP(E470,Calculations!$G$2:$H$6,2)</f>
        <v>4201</v>
      </c>
      <c r="B470" t="s">
        <v>5</v>
      </c>
      <c r="C470" t="s">
        <v>18</v>
      </c>
      <c r="D470" t="s">
        <v>54</v>
      </c>
      <c r="E470" t="s">
        <v>25</v>
      </c>
      <c r="F470">
        <v>1</v>
      </c>
      <c r="G470">
        <v>1</v>
      </c>
      <c r="H470">
        <f t="shared" si="28"/>
        <v>4201</v>
      </c>
      <c r="I470">
        <v>1</v>
      </c>
      <c r="J470">
        <f t="shared" si="29"/>
        <v>4201</v>
      </c>
      <c r="K470">
        <v>1</v>
      </c>
      <c r="L470">
        <f t="shared" si="30"/>
        <v>4201</v>
      </c>
      <c r="M470">
        <v>1</v>
      </c>
      <c r="N470">
        <f t="shared" si="31"/>
        <v>4201</v>
      </c>
    </row>
    <row r="471" spans="1:14" x14ac:dyDescent="0.25">
      <c r="A471">
        <f>VLOOKUP(B471,Calculations!$A$2:$B$10,2)+VLOOKUP(C471,Calculations!$C$2:$D$7,2)+VLOOKUP(D471,Calculations!$E$2:$F$6,2)+VLOOKUP(E471,Calculations!$G$2:$H$6,2)</f>
        <v>4202</v>
      </c>
      <c r="B471" t="s">
        <v>5</v>
      </c>
      <c r="C471" t="s">
        <v>18</v>
      </c>
      <c r="D471" t="s">
        <v>13</v>
      </c>
      <c r="E471" t="s">
        <v>25</v>
      </c>
      <c r="F471">
        <v>1</v>
      </c>
      <c r="G471">
        <v>1</v>
      </c>
      <c r="H471">
        <f t="shared" si="28"/>
        <v>4202</v>
      </c>
      <c r="I471">
        <v>1</v>
      </c>
      <c r="J471">
        <f t="shared" si="29"/>
        <v>4202</v>
      </c>
      <c r="K471">
        <v>1</v>
      </c>
      <c r="L471">
        <f t="shared" si="30"/>
        <v>4202</v>
      </c>
      <c r="M471">
        <v>1</v>
      </c>
      <c r="N471">
        <f t="shared" si="31"/>
        <v>4202</v>
      </c>
    </row>
    <row r="472" spans="1:14" x14ac:dyDescent="0.25">
      <c r="A472">
        <f>VLOOKUP(B472,Calculations!$A$2:$B$10,2)+VLOOKUP(C472,Calculations!$C$2:$D$7,2)+VLOOKUP(D472,Calculations!$E$2:$F$6,2)+VLOOKUP(E472,Calculations!$G$2:$H$6,2)</f>
        <v>4203</v>
      </c>
      <c r="B472" t="s">
        <v>5</v>
      </c>
      <c r="C472" t="s">
        <v>18</v>
      </c>
      <c r="D472" t="s">
        <v>14</v>
      </c>
      <c r="E472" t="s">
        <v>25</v>
      </c>
      <c r="F472">
        <v>1</v>
      </c>
      <c r="G472">
        <v>1</v>
      </c>
      <c r="H472">
        <f t="shared" si="28"/>
        <v>4203</v>
      </c>
      <c r="I472">
        <v>1</v>
      </c>
      <c r="J472">
        <f t="shared" si="29"/>
        <v>4203</v>
      </c>
      <c r="K472">
        <v>1</v>
      </c>
      <c r="L472">
        <f t="shared" si="30"/>
        <v>4203</v>
      </c>
      <c r="M472">
        <v>1</v>
      </c>
      <c r="N472">
        <f t="shared" si="31"/>
        <v>4203</v>
      </c>
    </row>
    <row r="473" spans="1:14" x14ac:dyDescent="0.25">
      <c r="A473">
        <f>VLOOKUP(B473,Calculations!$A$2:$B$10,2)+VLOOKUP(C473,Calculations!$C$2:$D$7,2)+VLOOKUP(D473,Calculations!$E$2:$F$6,2)+VLOOKUP(E473,Calculations!$G$2:$H$6,2)</f>
        <v>4204</v>
      </c>
      <c r="B473" t="s">
        <v>5</v>
      </c>
      <c r="C473" t="s">
        <v>18</v>
      </c>
      <c r="D473" t="s">
        <v>15</v>
      </c>
      <c r="E473" t="s">
        <v>25</v>
      </c>
      <c r="F473">
        <v>0</v>
      </c>
      <c r="G473">
        <v>0</v>
      </c>
      <c r="H473">
        <f t="shared" si="28"/>
        <v>0</v>
      </c>
      <c r="I473">
        <v>0</v>
      </c>
      <c r="J473">
        <f t="shared" si="29"/>
        <v>0</v>
      </c>
      <c r="K473">
        <v>0</v>
      </c>
      <c r="L473">
        <f t="shared" si="30"/>
        <v>0</v>
      </c>
      <c r="M473">
        <v>0</v>
      </c>
      <c r="N473">
        <f t="shared" si="31"/>
        <v>0</v>
      </c>
    </row>
    <row r="474" spans="1:14" x14ac:dyDescent="0.25">
      <c r="A474">
        <f>VLOOKUP(B474,Calculations!$A$2:$B$10,2)+VLOOKUP(C474,Calculations!$C$2:$D$7,2)+VLOOKUP(D474,Calculations!$E$2:$F$6,2)+VLOOKUP(E474,Calculations!$G$2:$H$6,2)</f>
        <v>4211</v>
      </c>
      <c r="B474" t="s">
        <v>6</v>
      </c>
      <c r="C474" t="s">
        <v>18</v>
      </c>
      <c r="D474" t="s">
        <v>54</v>
      </c>
      <c r="E474" t="s">
        <v>25</v>
      </c>
      <c r="F474">
        <v>1</v>
      </c>
      <c r="G474">
        <v>1</v>
      </c>
      <c r="H474">
        <f t="shared" si="28"/>
        <v>4211</v>
      </c>
      <c r="I474">
        <v>1</v>
      </c>
      <c r="J474">
        <f t="shared" si="29"/>
        <v>4211</v>
      </c>
      <c r="K474">
        <v>1</v>
      </c>
      <c r="L474">
        <f t="shared" si="30"/>
        <v>4211</v>
      </c>
      <c r="M474">
        <v>1</v>
      </c>
      <c r="N474">
        <f t="shared" si="31"/>
        <v>4211</v>
      </c>
    </row>
    <row r="475" spans="1:14" x14ac:dyDescent="0.25">
      <c r="A475">
        <f>VLOOKUP(B475,Calculations!$A$2:$B$10,2)+VLOOKUP(C475,Calculations!$C$2:$D$7,2)+VLOOKUP(D475,Calculations!$E$2:$F$6,2)+VLOOKUP(E475,Calculations!$G$2:$H$6,2)</f>
        <v>4212</v>
      </c>
      <c r="B475" t="s">
        <v>6</v>
      </c>
      <c r="C475" t="s">
        <v>18</v>
      </c>
      <c r="D475" t="s">
        <v>13</v>
      </c>
      <c r="E475" t="s">
        <v>25</v>
      </c>
      <c r="F475">
        <v>1</v>
      </c>
      <c r="G475">
        <v>1</v>
      </c>
      <c r="H475">
        <f t="shared" si="28"/>
        <v>4212</v>
      </c>
      <c r="I475">
        <v>1</v>
      </c>
      <c r="J475">
        <f t="shared" si="29"/>
        <v>4212</v>
      </c>
      <c r="K475">
        <v>1</v>
      </c>
      <c r="L475">
        <f t="shared" si="30"/>
        <v>4212</v>
      </c>
      <c r="M475">
        <v>1</v>
      </c>
      <c r="N475">
        <f t="shared" si="31"/>
        <v>4212</v>
      </c>
    </row>
    <row r="476" spans="1:14" x14ac:dyDescent="0.25">
      <c r="A476">
        <f>VLOOKUP(B476,Calculations!$A$2:$B$10,2)+VLOOKUP(C476,Calculations!$C$2:$D$7,2)+VLOOKUP(D476,Calculations!$E$2:$F$6,2)+VLOOKUP(E476,Calculations!$G$2:$H$6,2)</f>
        <v>4213</v>
      </c>
      <c r="B476" t="s">
        <v>6</v>
      </c>
      <c r="C476" t="s">
        <v>18</v>
      </c>
      <c r="D476" t="s">
        <v>14</v>
      </c>
      <c r="E476" t="s">
        <v>25</v>
      </c>
      <c r="F476">
        <v>1</v>
      </c>
      <c r="G476">
        <v>1</v>
      </c>
      <c r="H476">
        <f t="shared" si="28"/>
        <v>4213</v>
      </c>
      <c r="I476">
        <v>1</v>
      </c>
      <c r="J476">
        <f t="shared" si="29"/>
        <v>4213</v>
      </c>
      <c r="K476">
        <v>1</v>
      </c>
      <c r="L476">
        <f t="shared" si="30"/>
        <v>4213</v>
      </c>
      <c r="M476">
        <v>1</v>
      </c>
      <c r="N476">
        <f t="shared" si="31"/>
        <v>4213</v>
      </c>
    </row>
    <row r="477" spans="1:14" x14ac:dyDescent="0.25">
      <c r="A477">
        <f>VLOOKUP(B477,Calculations!$A$2:$B$10,2)+VLOOKUP(C477,Calculations!$C$2:$D$7,2)+VLOOKUP(D477,Calculations!$E$2:$F$6,2)+VLOOKUP(E477,Calculations!$G$2:$H$6,2)</f>
        <v>4214</v>
      </c>
      <c r="B477" t="s">
        <v>6</v>
      </c>
      <c r="C477" t="s">
        <v>18</v>
      </c>
      <c r="D477" t="s">
        <v>15</v>
      </c>
      <c r="E477" t="s">
        <v>25</v>
      </c>
      <c r="F477">
        <v>0</v>
      </c>
      <c r="G477">
        <v>0</v>
      </c>
      <c r="H477">
        <f t="shared" si="28"/>
        <v>0</v>
      </c>
      <c r="I477">
        <v>0</v>
      </c>
      <c r="J477">
        <f t="shared" si="29"/>
        <v>0</v>
      </c>
      <c r="K477">
        <v>0</v>
      </c>
      <c r="L477">
        <f t="shared" si="30"/>
        <v>0</v>
      </c>
      <c r="M477">
        <v>0</v>
      </c>
      <c r="N477">
        <f t="shared" si="31"/>
        <v>0</v>
      </c>
    </row>
    <row r="478" spans="1:14" x14ac:dyDescent="0.25">
      <c r="A478">
        <f>VLOOKUP(B478,Calculations!$A$2:$B$10,2)+VLOOKUP(C478,Calculations!$C$2:$D$7,2)+VLOOKUP(D478,Calculations!$E$2:$F$6,2)+VLOOKUP(E478,Calculations!$G$2:$H$6,2)</f>
        <v>4221</v>
      </c>
      <c r="B478" t="s">
        <v>7</v>
      </c>
      <c r="C478" t="s">
        <v>18</v>
      </c>
      <c r="D478" t="s">
        <v>54</v>
      </c>
      <c r="E478" t="s">
        <v>25</v>
      </c>
      <c r="F478">
        <v>1</v>
      </c>
      <c r="G478">
        <v>1</v>
      </c>
      <c r="H478">
        <f t="shared" si="28"/>
        <v>4221</v>
      </c>
      <c r="I478">
        <v>1</v>
      </c>
      <c r="J478">
        <f t="shared" si="29"/>
        <v>4221</v>
      </c>
      <c r="K478">
        <v>1</v>
      </c>
      <c r="L478">
        <f t="shared" si="30"/>
        <v>4221</v>
      </c>
      <c r="M478">
        <v>1</v>
      </c>
      <c r="N478">
        <f t="shared" si="31"/>
        <v>4221</v>
      </c>
    </row>
    <row r="479" spans="1:14" x14ac:dyDescent="0.25">
      <c r="A479">
        <f>VLOOKUP(B479,Calculations!$A$2:$B$10,2)+VLOOKUP(C479,Calculations!$C$2:$D$7,2)+VLOOKUP(D479,Calculations!$E$2:$F$6,2)+VLOOKUP(E479,Calculations!$G$2:$H$6,2)</f>
        <v>4222</v>
      </c>
      <c r="B479" t="s">
        <v>7</v>
      </c>
      <c r="C479" t="s">
        <v>18</v>
      </c>
      <c r="D479" t="s">
        <v>13</v>
      </c>
      <c r="E479" t="s">
        <v>25</v>
      </c>
      <c r="F479">
        <v>1</v>
      </c>
      <c r="G479">
        <v>1</v>
      </c>
      <c r="H479">
        <f t="shared" si="28"/>
        <v>4222</v>
      </c>
      <c r="I479">
        <v>1</v>
      </c>
      <c r="J479">
        <f t="shared" si="29"/>
        <v>4222</v>
      </c>
      <c r="K479">
        <v>1</v>
      </c>
      <c r="L479">
        <f t="shared" si="30"/>
        <v>4222</v>
      </c>
      <c r="M479">
        <v>1</v>
      </c>
      <c r="N479">
        <f t="shared" si="31"/>
        <v>4222</v>
      </c>
    </row>
    <row r="480" spans="1:14" x14ac:dyDescent="0.25">
      <c r="A480">
        <f>VLOOKUP(B480,Calculations!$A$2:$B$10,2)+VLOOKUP(C480,Calculations!$C$2:$D$7,2)+VLOOKUP(D480,Calculations!$E$2:$F$6,2)+VLOOKUP(E480,Calculations!$G$2:$H$6,2)</f>
        <v>4223</v>
      </c>
      <c r="B480" t="s">
        <v>7</v>
      </c>
      <c r="C480" t="s">
        <v>18</v>
      </c>
      <c r="D480" t="s">
        <v>14</v>
      </c>
      <c r="E480" t="s">
        <v>25</v>
      </c>
      <c r="F480">
        <v>1</v>
      </c>
      <c r="G480">
        <v>1</v>
      </c>
      <c r="H480">
        <f t="shared" si="28"/>
        <v>4223</v>
      </c>
      <c r="I480">
        <v>1</v>
      </c>
      <c r="J480">
        <f t="shared" si="29"/>
        <v>4223</v>
      </c>
      <c r="K480">
        <v>1</v>
      </c>
      <c r="L480">
        <f t="shared" si="30"/>
        <v>4223</v>
      </c>
      <c r="M480">
        <v>1</v>
      </c>
      <c r="N480">
        <f t="shared" si="31"/>
        <v>4223</v>
      </c>
    </row>
    <row r="481" spans="1:14" x14ac:dyDescent="0.25">
      <c r="A481">
        <f>VLOOKUP(B481,Calculations!$A$2:$B$10,2)+VLOOKUP(C481,Calculations!$C$2:$D$7,2)+VLOOKUP(D481,Calculations!$E$2:$F$6,2)+VLOOKUP(E481,Calculations!$G$2:$H$6,2)</f>
        <v>4224</v>
      </c>
      <c r="B481" t="s">
        <v>7</v>
      </c>
      <c r="C481" t="s">
        <v>18</v>
      </c>
      <c r="D481" t="s">
        <v>15</v>
      </c>
      <c r="E481" t="s">
        <v>25</v>
      </c>
      <c r="F481">
        <v>1</v>
      </c>
      <c r="G481">
        <v>1</v>
      </c>
      <c r="H481">
        <f t="shared" si="28"/>
        <v>4224</v>
      </c>
      <c r="I481">
        <v>1</v>
      </c>
      <c r="J481">
        <f t="shared" si="29"/>
        <v>4224</v>
      </c>
      <c r="K481">
        <v>1</v>
      </c>
      <c r="L481">
        <f t="shared" si="30"/>
        <v>4224</v>
      </c>
      <c r="M481">
        <v>1</v>
      </c>
      <c r="N481">
        <f t="shared" si="31"/>
        <v>4224</v>
      </c>
    </row>
    <row r="482" spans="1:14" x14ac:dyDescent="0.25">
      <c r="A482">
        <f>VLOOKUP(B482,Calculations!$A$2:$B$10,2)+VLOOKUP(C482,Calculations!$C$2:$D$7,2)+VLOOKUP(D482,Calculations!$E$2:$F$6,2)+VLOOKUP(E482,Calculations!$G$2:$H$6,2)</f>
        <v>4231</v>
      </c>
      <c r="B482" t="s">
        <v>53</v>
      </c>
      <c r="C482" t="s">
        <v>18</v>
      </c>
      <c r="D482" t="s">
        <v>54</v>
      </c>
      <c r="E482" t="s">
        <v>25</v>
      </c>
      <c r="F482">
        <v>1</v>
      </c>
      <c r="G482">
        <v>1</v>
      </c>
      <c r="H482">
        <f t="shared" si="28"/>
        <v>4231</v>
      </c>
      <c r="I482">
        <v>1</v>
      </c>
      <c r="J482">
        <f t="shared" si="29"/>
        <v>4231</v>
      </c>
      <c r="K482">
        <v>1</v>
      </c>
      <c r="L482">
        <f t="shared" si="30"/>
        <v>4231</v>
      </c>
      <c r="M482">
        <v>1</v>
      </c>
      <c r="N482">
        <f t="shared" si="31"/>
        <v>4231</v>
      </c>
    </row>
    <row r="483" spans="1:14" x14ac:dyDescent="0.25">
      <c r="A483">
        <f>VLOOKUP(B483,Calculations!$A$2:$B$10,2)+VLOOKUP(C483,Calculations!$C$2:$D$7,2)+VLOOKUP(D483,Calculations!$E$2:$F$6,2)+VLOOKUP(E483,Calculations!$G$2:$H$6,2)</f>
        <v>4232</v>
      </c>
      <c r="B483" t="s">
        <v>53</v>
      </c>
      <c r="C483" t="s">
        <v>18</v>
      </c>
      <c r="D483" t="s">
        <v>13</v>
      </c>
      <c r="E483" t="s">
        <v>25</v>
      </c>
      <c r="F483">
        <v>1</v>
      </c>
      <c r="G483">
        <v>1</v>
      </c>
      <c r="H483">
        <f t="shared" si="28"/>
        <v>4232</v>
      </c>
      <c r="I483">
        <v>1</v>
      </c>
      <c r="J483">
        <f t="shared" si="29"/>
        <v>4232</v>
      </c>
      <c r="K483">
        <v>1</v>
      </c>
      <c r="L483">
        <f t="shared" si="30"/>
        <v>4232</v>
      </c>
      <c r="M483">
        <v>1</v>
      </c>
      <c r="N483">
        <f t="shared" si="31"/>
        <v>4232</v>
      </c>
    </row>
    <row r="484" spans="1:14" x14ac:dyDescent="0.25">
      <c r="A484">
        <f>VLOOKUP(B484,Calculations!$A$2:$B$10,2)+VLOOKUP(C484,Calculations!$C$2:$D$7,2)+VLOOKUP(D484,Calculations!$E$2:$F$6,2)+VLOOKUP(E484,Calculations!$G$2:$H$6,2)</f>
        <v>4233</v>
      </c>
      <c r="B484" t="s">
        <v>53</v>
      </c>
      <c r="C484" t="s">
        <v>18</v>
      </c>
      <c r="D484" t="s">
        <v>14</v>
      </c>
      <c r="E484" t="s">
        <v>25</v>
      </c>
      <c r="F484">
        <v>1</v>
      </c>
      <c r="G484">
        <v>1</v>
      </c>
      <c r="H484">
        <f t="shared" si="28"/>
        <v>4233</v>
      </c>
      <c r="I484">
        <v>1</v>
      </c>
      <c r="J484">
        <f t="shared" si="29"/>
        <v>4233</v>
      </c>
      <c r="K484">
        <v>1</v>
      </c>
      <c r="L484">
        <f t="shared" si="30"/>
        <v>4233</v>
      </c>
      <c r="M484">
        <v>1</v>
      </c>
      <c r="N484">
        <f t="shared" si="31"/>
        <v>4233</v>
      </c>
    </row>
    <row r="485" spans="1:14" x14ac:dyDescent="0.25">
      <c r="A485">
        <f>VLOOKUP(B485,Calculations!$A$2:$B$10,2)+VLOOKUP(C485,Calculations!$C$2:$D$7,2)+VLOOKUP(D485,Calculations!$E$2:$F$6,2)+VLOOKUP(E485,Calculations!$G$2:$H$6,2)</f>
        <v>4234</v>
      </c>
      <c r="B485" t="s">
        <v>53</v>
      </c>
      <c r="C485" t="s">
        <v>18</v>
      </c>
      <c r="D485" t="s">
        <v>15</v>
      </c>
      <c r="E485" t="s">
        <v>25</v>
      </c>
      <c r="F485">
        <v>1</v>
      </c>
      <c r="G485">
        <v>1</v>
      </c>
      <c r="H485">
        <f t="shared" si="28"/>
        <v>4234</v>
      </c>
      <c r="I485">
        <v>1</v>
      </c>
      <c r="J485">
        <f t="shared" si="29"/>
        <v>4234</v>
      </c>
      <c r="K485">
        <v>1</v>
      </c>
      <c r="L485">
        <f t="shared" si="30"/>
        <v>4234</v>
      </c>
      <c r="M485">
        <v>1</v>
      </c>
      <c r="N485">
        <f t="shared" si="31"/>
        <v>4234</v>
      </c>
    </row>
    <row r="486" spans="1:14" x14ac:dyDescent="0.25">
      <c r="A486">
        <f>VLOOKUP(B486,Calculations!$A$2:$B$10,2)+VLOOKUP(C486,Calculations!$C$2:$D$7,2)+VLOOKUP(D486,Calculations!$E$2:$F$6,2)+VLOOKUP(E486,Calculations!$G$2:$H$6,2)</f>
        <v>4241</v>
      </c>
      <c r="B486" t="s">
        <v>9</v>
      </c>
      <c r="C486" t="s">
        <v>18</v>
      </c>
      <c r="D486" t="s">
        <v>54</v>
      </c>
      <c r="E486" t="s">
        <v>25</v>
      </c>
      <c r="F486">
        <v>1</v>
      </c>
      <c r="G486">
        <v>1</v>
      </c>
      <c r="H486">
        <f t="shared" si="28"/>
        <v>4241</v>
      </c>
      <c r="I486">
        <v>1</v>
      </c>
      <c r="J486">
        <f t="shared" si="29"/>
        <v>4241</v>
      </c>
      <c r="K486">
        <v>1</v>
      </c>
      <c r="L486">
        <f t="shared" si="30"/>
        <v>4241</v>
      </c>
      <c r="M486">
        <v>1</v>
      </c>
      <c r="N486">
        <f t="shared" si="31"/>
        <v>4241</v>
      </c>
    </row>
    <row r="487" spans="1:14" x14ac:dyDescent="0.25">
      <c r="A487">
        <f>VLOOKUP(B487,Calculations!$A$2:$B$10,2)+VLOOKUP(C487,Calculations!$C$2:$D$7,2)+VLOOKUP(D487,Calculations!$E$2:$F$6,2)+VLOOKUP(E487,Calculations!$G$2:$H$6,2)</f>
        <v>4242</v>
      </c>
      <c r="B487" t="s">
        <v>9</v>
      </c>
      <c r="C487" t="s">
        <v>18</v>
      </c>
      <c r="D487" t="s">
        <v>13</v>
      </c>
      <c r="E487" t="s">
        <v>25</v>
      </c>
      <c r="F487">
        <v>0</v>
      </c>
      <c r="G487">
        <v>0</v>
      </c>
      <c r="H487">
        <f t="shared" si="28"/>
        <v>0</v>
      </c>
      <c r="I487">
        <v>0</v>
      </c>
      <c r="J487">
        <f t="shared" si="29"/>
        <v>0</v>
      </c>
      <c r="K487">
        <v>0</v>
      </c>
      <c r="L487">
        <f t="shared" si="30"/>
        <v>0</v>
      </c>
      <c r="M487">
        <v>0</v>
      </c>
      <c r="N487">
        <f t="shared" si="31"/>
        <v>0</v>
      </c>
    </row>
    <row r="488" spans="1:14" x14ac:dyDescent="0.25">
      <c r="A488">
        <f>VLOOKUP(B488,Calculations!$A$2:$B$10,2)+VLOOKUP(C488,Calculations!$C$2:$D$7,2)+VLOOKUP(D488,Calculations!$E$2:$F$6,2)+VLOOKUP(E488,Calculations!$G$2:$H$6,2)</f>
        <v>4243</v>
      </c>
      <c r="B488" t="s">
        <v>9</v>
      </c>
      <c r="C488" t="s">
        <v>18</v>
      </c>
      <c r="D488" t="s">
        <v>14</v>
      </c>
      <c r="E488" t="s">
        <v>25</v>
      </c>
      <c r="F488">
        <v>0</v>
      </c>
      <c r="G488">
        <v>0</v>
      </c>
      <c r="H488">
        <f t="shared" si="28"/>
        <v>0</v>
      </c>
      <c r="I488">
        <v>0</v>
      </c>
      <c r="J488">
        <f t="shared" si="29"/>
        <v>0</v>
      </c>
      <c r="K488">
        <v>0</v>
      </c>
      <c r="L488">
        <f t="shared" si="30"/>
        <v>0</v>
      </c>
      <c r="M488">
        <v>0</v>
      </c>
      <c r="N488">
        <f t="shared" si="31"/>
        <v>0</v>
      </c>
    </row>
    <row r="489" spans="1:14" x14ac:dyDescent="0.25">
      <c r="A489">
        <f>VLOOKUP(B489,Calculations!$A$2:$B$10,2)+VLOOKUP(C489,Calculations!$C$2:$D$7,2)+VLOOKUP(D489,Calculations!$E$2:$F$6,2)+VLOOKUP(E489,Calculations!$G$2:$H$6,2)</f>
        <v>4244</v>
      </c>
      <c r="B489" t="s">
        <v>9</v>
      </c>
      <c r="C489" t="s">
        <v>18</v>
      </c>
      <c r="D489" t="s">
        <v>15</v>
      </c>
      <c r="E489" t="s">
        <v>25</v>
      </c>
      <c r="F489">
        <v>0</v>
      </c>
      <c r="G489">
        <v>0</v>
      </c>
      <c r="H489">
        <f t="shared" si="28"/>
        <v>0</v>
      </c>
      <c r="I489">
        <v>0</v>
      </c>
      <c r="J489">
        <f t="shared" si="29"/>
        <v>0</v>
      </c>
      <c r="K489">
        <v>0</v>
      </c>
      <c r="L489">
        <f t="shared" si="30"/>
        <v>0</v>
      </c>
      <c r="M489">
        <v>0</v>
      </c>
      <c r="N489">
        <f t="shared" si="31"/>
        <v>0</v>
      </c>
    </row>
    <row r="490" spans="1:14" x14ac:dyDescent="0.25">
      <c r="A490">
        <f>VLOOKUP(B490,Calculations!$A$2:$B$10,2)+VLOOKUP(C490,Calculations!$C$2:$D$7,2)+VLOOKUP(D490,Calculations!$E$2:$F$6,2)+VLOOKUP(E490,Calculations!$G$2:$H$6,2)</f>
        <v>4251</v>
      </c>
      <c r="B490" t="s">
        <v>50</v>
      </c>
      <c r="C490" t="s">
        <v>18</v>
      </c>
      <c r="D490" t="s">
        <v>54</v>
      </c>
      <c r="E490" t="s">
        <v>25</v>
      </c>
      <c r="F490">
        <v>1</v>
      </c>
      <c r="G490">
        <v>1</v>
      </c>
      <c r="H490">
        <f t="shared" si="28"/>
        <v>4251</v>
      </c>
      <c r="I490">
        <v>1</v>
      </c>
      <c r="J490">
        <f t="shared" si="29"/>
        <v>4251</v>
      </c>
      <c r="K490">
        <v>1</v>
      </c>
      <c r="L490">
        <f t="shared" si="30"/>
        <v>4251</v>
      </c>
      <c r="M490">
        <v>1</v>
      </c>
      <c r="N490">
        <f t="shared" si="31"/>
        <v>4251</v>
      </c>
    </row>
    <row r="491" spans="1:14" x14ac:dyDescent="0.25">
      <c r="A491">
        <f>VLOOKUP(B491,Calculations!$A$2:$B$10,2)+VLOOKUP(C491,Calculations!$C$2:$D$7,2)+VLOOKUP(D491,Calculations!$E$2:$F$6,2)+VLOOKUP(E491,Calculations!$G$2:$H$6,2)</f>
        <v>4252</v>
      </c>
      <c r="B491" t="s">
        <v>50</v>
      </c>
      <c r="C491" t="s">
        <v>18</v>
      </c>
      <c r="D491" t="s">
        <v>13</v>
      </c>
      <c r="E491" t="s">
        <v>25</v>
      </c>
      <c r="F491">
        <v>1</v>
      </c>
      <c r="G491">
        <v>1</v>
      </c>
      <c r="H491">
        <f t="shared" si="28"/>
        <v>4252</v>
      </c>
      <c r="I491">
        <v>1</v>
      </c>
      <c r="J491">
        <f t="shared" si="29"/>
        <v>4252</v>
      </c>
      <c r="K491">
        <v>1</v>
      </c>
      <c r="L491">
        <f t="shared" si="30"/>
        <v>4252</v>
      </c>
      <c r="M491">
        <v>1</v>
      </c>
      <c r="N491">
        <f t="shared" si="31"/>
        <v>4252</v>
      </c>
    </row>
    <row r="492" spans="1:14" x14ac:dyDescent="0.25">
      <c r="A492">
        <f>VLOOKUP(B492,Calculations!$A$2:$B$10,2)+VLOOKUP(C492,Calculations!$C$2:$D$7,2)+VLOOKUP(D492,Calculations!$E$2:$F$6,2)+VLOOKUP(E492,Calculations!$G$2:$H$6,2)</f>
        <v>4253</v>
      </c>
      <c r="B492" t="s">
        <v>50</v>
      </c>
      <c r="C492" t="s">
        <v>18</v>
      </c>
      <c r="D492" t="s">
        <v>14</v>
      </c>
      <c r="E492" t="s">
        <v>25</v>
      </c>
      <c r="F492">
        <v>1</v>
      </c>
      <c r="G492">
        <v>1</v>
      </c>
      <c r="H492">
        <f t="shared" si="28"/>
        <v>4253</v>
      </c>
      <c r="I492">
        <v>1</v>
      </c>
      <c r="J492">
        <f t="shared" si="29"/>
        <v>4253</v>
      </c>
      <c r="K492">
        <v>1</v>
      </c>
      <c r="L492">
        <f t="shared" si="30"/>
        <v>4253</v>
      </c>
      <c r="M492">
        <v>1</v>
      </c>
      <c r="N492">
        <f t="shared" si="31"/>
        <v>4253</v>
      </c>
    </row>
    <row r="493" spans="1:14" x14ac:dyDescent="0.25">
      <c r="A493">
        <f>VLOOKUP(B493,Calculations!$A$2:$B$10,2)+VLOOKUP(C493,Calculations!$C$2:$D$7,2)+VLOOKUP(D493,Calculations!$E$2:$F$6,2)+VLOOKUP(E493,Calculations!$G$2:$H$6,2)</f>
        <v>4254</v>
      </c>
      <c r="B493" t="s">
        <v>50</v>
      </c>
      <c r="C493" t="s">
        <v>18</v>
      </c>
      <c r="D493" t="s">
        <v>15</v>
      </c>
      <c r="E493" t="s">
        <v>25</v>
      </c>
      <c r="F493">
        <v>1</v>
      </c>
      <c r="G493">
        <v>1</v>
      </c>
      <c r="H493">
        <f t="shared" si="28"/>
        <v>4254</v>
      </c>
      <c r="I493">
        <v>1</v>
      </c>
      <c r="J493">
        <f t="shared" si="29"/>
        <v>4254</v>
      </c>
      <c r="K493">
        <v>1</v>
      </c>
      <c r="L493">
        <f t="shared" si="30"/>
        <v>4254</v>
      </c>
      <c r="M493">
        <v>1</v>
      </c>
      <c r="N493">
        <f t="shared" si="31"/>
        <v>4254</v>
      </c>
    </row>
    <row r="494" spans="1:14" x14ac:dyDescent="0.25">
      <c r="A494">
        <f>VLOOKUP(B494,Calculations!$A$2:$B$10,2)+VLOOKUP(C494,Calculations!$C$2:$D$7,2)+VLOOKUP(D494,Calculations!$E$2:$F$6,2)+VLOOKUP(E494,Calculations!$G$2:$H$6,2)</f>
        <v>4261</v>
      </c>
      <c r="B494" t="s">
        <v>51</v>
      </c>
      <c r="C494" t="s">
        <v>18</v>
      </c>
      <c r="D494" t="s">
        <v>54</v>
      </c>
      <c r="E494" t="s">
        <v>25</v>
      </c>
      <c r="F494">
        <v>1</v>
      </c>
      <c r="G494">
        <v>0</v>
      </c>
      <c r="H494">
        <f t="shared" si="28"/>
        <v>0</v>
      </c>
      <c r="I494">
        <v>1</v>
      </c>
      <c r="J494">
        <f t="shared" si="29"/>
        <v>4261</v>
      </c>
      <c r="K494">
        <v>1</v>
      </c>
      <c r="L494">
        <f t="shared" si="30"/>
        <v>4261</v>
      </c>
      <c r="M494">
        <v>1</v>
      </c>
      <c r="N494">
        <f t="shared" si="31"/>
        <v>4261</v>
      </c>
    </row>
    <row r="495" spans="1:14" x14ac:dyDescent="0.25">
      <c r="A495">
        <f>VLOOKUP(B495,Calculations!$A$2:$B$10,2)+VLOOKUP(C495,Calculations!$C$2:$D$7,2)+VLOOKUP(D495,Calculations!$E$2:$F$6,2)+VLOOKUP(E495,Calculations!$G$2:$H$6,2)</f>
        <v>4262</v>
      </c>
      <c r="B495" t="s">
        <v>51</v>
      </c>
      <c r="C495" t="s">
        <v>18</v>
      </c>
      <c r="D495" t="s">
        <v>13</v>
      </c>
      <c r="E495" t="s">
        <v>25</v>
      </c>
      <c r="F495">
        <v>1</v>
      </c>
      <c r="G495">
        <v>0</v>
      </c>
      <c r="H495">
        <f t="shared" si="28"/>
        <v>0</v>
      </c>
      <c r="I495">
        <v>1</v>
      </c>
      <c r="J495">
        <f t="shared" si="29"/>
        <v>4262</v>
      </c>
      <c r="K495">
        <v>1</v>
      </c>
      <c r="L495">
        <f t="shared" si="30"/>
        <v>4262</v>
      </c>
      <c r="M495">
        <v>1</v>
      </c>
      <c r="N495">
        <f t="shared" si="31"/>
        <v>4262</v>
      </c>
    </row>
    <row r="496" spans="1:14" x14ac:dyDescent="0.25">
      <c r="A496">
        <f>VLOOKUP(B496,Calculations!$A$2:$B$10,2)+VLOOKUP(C496,Calculations!$C$2:$D$7,2)+VLOOKUP(D496,Calculations!$E$2:$F$6,2)+VLOOKUP(E496,Calculations!$G$2:$H$6,2)</f>
        <v>4263</v>
      </c>
      <c r="B496" t="s">
        <v>51</v>
      </c>
      <c r="C496" t="s">
        <v>18</v>
      </c>
      <c r="D496" t="s">
        <v>14</v>
      </c>
      <c r="E496" t="s">
        <v>25</v>
      </c>
      <c r="F496">
        <v>1</v>
      </c>
      <c r="G496">
        <v>0</v>
      </c>
      <c r="H496">
        <f t="shared" si="28"/>
        <v>0</v>
      </c>
      <c r="I496">
        <v>1</v>
      </c>
      <c r="J496">
        <f t="shared" si="29"/>
        <v>4263</v>
      </c>
      <c r="K496">
        <v>1</v>
      </c>
      <c r="L496">
        <f t="shared" si="30"/>
        <v>4263</v>
      </c>
      <c r="M496">
        <v>1</v>
      </c>
      <c r="N496">
        <f t="shared" si="31"/>
        <v>4263</v>
      </c>
    </row>
    <row r="497" spans="1:14" x14ac:dyDescent="0.25">
      <c r="A497">
        <f>VLOOKUP(B497,Calculations!$A$2:$B$10,2)+VLOOKUP(C497,Calculations!$C$2:$D$7,2)+VLOOKUP(D497,Calculations!$E$2:$F$6,2)+VLOOKUP(E497,Calculations!$G$2:$H$6,2)</f>
        <v>4264</v>
      </c>
      <c r="B497" t="s">
        <v>51</v>
      </c>
      <c r="C497" t="s">
        <v>18</v>
      </c>
      <c r="D497" t="s">
        <v>15</v>
      </c>
      <c r="E497" t="s">
        <v>25</v>
      </c>
      <c r="F497">
        <v>1</v>
      </c>
      <c r="G497">
        <v>0</v>
      </c>
      <c r="H497">
        <f t="shared" si="28"/>
        <v>0</v>
      </c>
      <c r="I497">
        <v>1</v>
      </c>
      <c r="J497">
        <f t="shared" si="29"/>
        <v>4264</v>
      </c>
      <c r="K497">
        <v>1</v>
      </c>
      <c r="L497">
        <f t="shared" si="30"/>
        <v>4264</v>
      </c>
      <c r="M497">
        <v>1</v>
      </c>
      <c r="N497">
        <f t="shared" si="31"/>
        <v>4264</v>
      </c>
    </row>
    <row r="498" spans="1:14" x14ac:dyDescent="0.25">
      <c r="A498">
        <f>VLOOKUP(B498,Calculations!$A$2:$B$10,2)+VLOOKUP(C498,Calculations!$C$2:$D$7,2)+VLOOKUP(D498,Calculations!$E$2:$F$6,2)+VLOOKUP(E498,Calculations!$G$2:$H$6,2)</f>
        <v>4271</v>
      </c>
      <c r="B498" t="s">
        <v>52</v>
      </c>
      <c r="C498" t="s">
        <v>18</v>
      </c>
      <c r="D498" t="s">
        <v>54</v>
      </c>
      <c r="E498" t="s">
        <v>25</v>
      </c>
      <c r="F498">
        <v>1</v>
      </c>
      <c r="G498">
        <v>1</v>
      </c>
      <c r="H498">
        <f t="shared" si="28"/>
        <v>4271</v>
      </c>
      <c r="I498">
        <v>1</v>
      </c>
      <c r="J498">
        <f t="shared" si="29"/>
        <v>4271</v>
      </c>
      <c r="K498">
        <v>1</v>
      </c>
      <c r="L498">
        <f t="shared" si="30"/>
        <v>4271</v>
      </c>
      <c r="M498">
        <v>1</v>
      </c>
      <c r="N498">
        <f t="shared" si="31"/>
        <v>4271</v>
      </c>
    </row>
    <row r="499" spans="1:14" x14ac:dyDescent="0.25">
      <c r="A499">
        <f>VLOOKUP(B499,Calculations!$A$2:$B$10,2)+VLOOKUP(C499,Calculations!$C$2:$D$7,2)+VLOOKUP(D499,Calculations!$E$2:$F$6,2)+VLOOKUP(E499,Calculations!$G$2:$H$6,2)</f>
        <v>4272</v>
      </c>
      <c r="B499" t="s">
        <v>52</v>
      </c>
      <c r="C499" t="s">
        <v>18</v>
      </c>
      <c r="D499" t="s">
        <v>13</v>
      </c>
      <c r="E499" t="s">
        <v>25</v>
      </c>
      <c r="F499">
        <v>1</v>
      </c>
      <c r="G499">
        <v>1</v>
      </c>
      <c r="H499">
        <f t="shared" si="28"/>
        <v>4272</v>
      </c>
      <c r="I499">
        <v>1</v>
      </c>
      <c r="J499">
        <f t="shared" si="29"/>
        <v>4272</v>
      </c>
      <c r="K499">
        <v>1</v>
      </c>
      <c r="L499">
        <f t="shared" si="30"/>
        <v>4272</v>
      </c>
      <c r="M499">
        <v>1</v>
      </c>
      <c r="N499">
        <f t="shared" si="31"/>
        <v>4272</v>
      </c>
    </row>
    <row r="500" spans="1:14" x14ac:dyDescent="0.25">
      <c r="A500">
        <f>VLOOKUP(B500,Calculations!$A$2:$B$10,2)+VLOOKUP(C500,Calculations!$C$2:$D$7,2)+VLOOKUP(D500,Calculations!$E$2:$F$6,2)+VLOOKUP(E500,Calculations!$G$2:$H$6,2)</f>
        <v>4273</v>
      </c>
      <c r="B500" t="s">
        <v>52</v>
      </c>
      <c r="C500" t="s">
        <v>18</v>
      </c>
      <c r="D500" t="s">
        <v>14</v>
      </c>
      <c r="E500" t="s">
        <v>25</v>
      </c>
      <c r="F500">
        <v>1</v>
      </c>
      <c r="G500">
        <v>1</v>
      </c>
      <c r="H500">
        <f t="shared" si="28"/>
        <v>4273</v>
      </c>
      <c r="I500">
        <v>1</v>
      </c>
      <c r="J500">
        <f t="shared" si="29"/>
        <v>4273</v>
      </c>
      <c r="K500">
        <v>1</v>
      </c>
      <c r="L500">
        <f t="shared" si="30"/>
        <v>4273</v>
      </c>
      <c r="M500">
        <v>1</v>
      </c>
      <c r="N500">
        <f t="shared" si="31"/>
        <v>4273</v>
      </c>
    </row>
    <row r="501" spans="1:14" x14ac:dyDescent="0.25">
      <c r="A501">
        <f>VLOOKUP(B501,Calculations!$A$2:$B$10,2)+VLOOKUP(C501,Calculations!$C$2:$D$7,2)+VLOOKUP(D501,Calculations!$E$2:$F$6,2)+VLOOKUP(E501,Calculations!$G$2:$H$6,2)</f>
        <v>4274</v>
      </c>
      <c r="B501" t="s">
        <v>52</v>
      </c>
      <c r="C501" t="s">
        <v>18</v>
      </c>
      <c r="D501" t="s">
        <v>15</v>
      </c>
      <c r="E501" t="s">
        <v>25</v>
      </c>
      <c r="F501">
        <v>1</v>
      </c>
      <c r="G501">
        <v>1</v>
      </c>
      <c r="H501">
        <f t="shared" si="28"/>
        <v>4274</v>
      </c>
      <c r="I501">
        <v>1</v>
      </c>
      <c r="J501">
        <f t="shared" si="29"/>
        <v>4274</v>
      </c>
      <c r="K501">
        <v>1</v>
      </c>
      <c r="L501">
        <f t="shared" si="30"/>
        <v>4274</v>
      </c>
      <c r="M501">
        <v>1</v>
      </c>
      <c r="N501">
        <f t="shared" si="31"/>
        <v>4274</v>
      </c>
    </row>
    <row r="502" spans="1:14" x14ac:dyDescent="0.25">
      <c r="A502">
        <f>VLOOKUP(B502,Calculations!$A$2:$B$10,2)+VLOOKUP(C502,Calculations!$C$2:$D$7,2)+VLOOKUP(D502,Calculations!$E$2:$F$6,2)+VLOOKUP(E502,Calculations!$G$2:$H$6,2)</f>
        <v>4281</v>
      </c>
      <c r="B502" t="s">
        <v>8</v>
      </c>
      <c r="C502" t="s">
        <v>18</v>
      </c>
      <c r="D502" t="s">
        <v>54</v>
      </c>
      <c r="E502" t="s">
        <v>25</v>
      </c>
      <c r="F502">
        <v>1</v>
      </c>
      <c r="G502">
        <v>1</v>
      </c>
      <c r="H502">
        <f t="shared" si="28"/>
        <v>4281</v>
      </c>
      <c r="I502">
        <v>1</v>
      </c>
      <c r="J502">
        <f t="shared" si="29"/>
        <v>4281</v>
      </c>
      <c r="K502">
        <v>0</v>
      </c>
      <c r="L502">
        <f t="shared" si="30"/>
        <v>0</v>
      </c>
      <c r="M502">
        <v>1</v>
      </c>
      <c r="N502">
        <f t="shared" si="31"/>
        <v>4281</v>
      </c>
    </row>
    <row r="503" spans="1:14" x14ac:dyDescent="0.25">
      <c r="A503">
        <f>VLOOKUP(B503,Calculations!$A$2:$B$10,2)+VLOOKUP(C503,Calculations!$C$2:$D$7,2)+VLOOKUP(D503,Calculations!$E$2:$F$6,2)+VLOOKUP(E503,Calculations!$G$2:$H$6,2)</f>
        <v>4282</v>
      </c>
      <c r="B503" t="s">
        <v>8</v>
      </c>
      <c r="C503" t="s">
        <v>18</v>
      </c>
      <c r="D503" t="s">
        <v>13</v>
      </c>
      <c r="E503" t="s">
        <v>25</v>
      </c>
      <c r="F503">
        <v>1</v>
      </c>
      <c r="G503">
        <v>1</v>
      </c>
      <c r="H503">
        <f t="shared" si="28"/>
        <v>4282</v>
      </c>
      <c r="I503">
        <v>1</v>
      </c>
      <c r="J503">
        <f t="shared" si="29"/>
        <v>4282</v>
      </c>
      <c r="K503">
        <v>0</v>
      </c>
      <c r="L503">
        <f t="shared" si="30"/>
        <v>0</v>
      </c>
      <c r="M503">
        <v>1</v>
      </c>
      <c r="N503">
        <f t="shared" si="31"/>
        <v>4282</v>
      </c>
    </row>
    <row r="504" spans="1:14" x14ac:dyDescent="0.25">
      <c r="A504">
        <f>VLOOKUP(B504,Calculations!$A$2:$B$10,2)+VLOOKUP(C504,Calculations!$C$2:$D$7,2)+VLOOKUP(D504,Calculations!$E$2:$F$6,2)+VLOOKUP(E504,Calculations!$G$2:$H$6,2)</f>
        <v>4283</v>
      </c>
      <c r="B504" t="s">
        <v>8</v>
      </c>
      <c r="C504" t="s">
        <v>18</v>
      </c>
      <c r="D504" t="s">
        <v>14</v>
      </c>
      <c r="E504" t="s">
        <v>25</v>
      </c>
      <c r="F504">
        <v>1</v>
      </c>
      <c r="G504">
        <v>1</v>
      </c>
      <c r="H504">
        <f t="shared" si="28"/>
        <v>4283</v>
      </c>
      <c r="I504">
        <v>1</v>
      </c>
      <c r="J504">
        <f t="shared" si="29"/>
        <v>4283</v>
      </c>
      <c r="K504">
        <v>0</v>
      </c>
      <c r="L504">
        <f t="shared" si="30"/>
        <v>0</v>
      </c>
      <c r="M504">
        <v>1</v>
      </c>
      <c r="N504">
        <f t="shared" si="31"/>
        <v>4283</v>
      </c>
    </row>
    <row r="505" spans="1:14" x14ac:dyDescent="0.25">
      <c r="A505">
        <f>VLOOKUP(B505,Calculations!$A$2:$B$10,2)+VLOOKUP(C505,Calculations!$C$2:$D$7,2)+VLOOKUP(D505,Calculations!$E$2:$F$6,2)+VLOOKUP(E505,Calculations!$G$2:$H$6,2)</f>
        <v>4284</v>
      </c>
      <c r="B505" t="s">
        <v>8</v>
      </c>
      <c r="C505" t="s">
        <v>18</v>
      </c>
      <c r="D505" t="s">
        <v>15</v>
      </c>
      <c r="E505" t="s">
        <v>25</v>
      </c>
      <c r="F505">
        <v>1</v>
      </c>
      <c r="G505">
        <v>1</v>
      </c>
      <c r="H505">
        <f t="shared" si="28"/>
        <v>4284</v>
      </c>
      <c r="I505">
        <v>1</v>
      </c>
      <c r="J505">
        <f t="shared" si="29"/>
        <v>4284</v>
      </c>
      <c r="K505">
        <v>0</v>
      </c>
      <c r="L505">
        <f t="shared" si="30"/>
        <v>0</v>
      </c>
      <c r="M505">
        <v>1</v>
      </c>
      <c r="N505">
        <f t="shared" si="31"/>
        <v>4284</v>
      </c>
    </row>
    <row r="506" spans="1:14" x14ac:dyDescent="0.25">
      <c r="A506">
        <f>VLOOKUP(B506,Calculations!$A$2:$B$10,2)+VLOOKUP(C506,Calculations!$C$2:$D$7,2)+VLOOKUP(D506,Calculations!$E$2:$F$6,2)+VLOOKUP(E506,Calculations!$G$2:$H$6,2)</f>
        <v>4301</v>
      </c>
      <c r="B506" t="s">
        <v>5</v>
      </c>
      <c r="C506" t="s">
        <v>18</v>
      </c>
      <c r="D506" t="s">
        <v>54</v>
      </c>
      <c r="E506" t="s">
        <v>26</v>
      </c>
      <c r="F506">
        <v>1</v>
      </c>
      <c r="G506">
        <v>1</v>
      </c>
      <c r="H506">
        <f t="shared" si="28"/>
        <v>4301</v>
      </c>
      <c r="I506">
        <v>1</v>
      </c>
      <c r="J506">
        <f t="shared" si="29"/>
        <v>4301</v>
      </c>
      <c r="K506">
        <v>1</v>
      </c>
      <c r="L506">
        <f t="shared" si="30"/>
        <v>4301</v>
      </c>
      <c r="M506">
        <v>1</v>
      </c>
      <c r="N506">
        <f t="shared" si="31"/>
        <v>4301</v>
      </c>
    </row>
    <row r="507" spans="1:14" x14ac:dyDescent="0.25">
      <c r="A507">
        <f>VLOOKUP(B507,Calculations!$A$2:$B$10,2)+VLOOKUP(C507,Calculations!$C$2:$D$7,2)+VLOOKUP(D507,Calculations!$E$2:$F$6,2)+VLOOKUP(E507,Calculations!$G$2:$H$6,2)</f>
        <v>4302</v>
      </c>
      <c r="B507" t="s">
        <v>5</v>
      </c>
      <c r="C507" t="s">
        <v>18</v>
      </c>
      <c r="D507" t="s">
        <v>13</v>
      </c>
      <c r="E507" t="s">
        <v>26</v>
      </c>
      <c r="F507">
        <v>1</v>
      </c>
      <c r="G507">
        <v>1</v>
      </c>
      <c r="H507">
        <f t="shared" si="28"/>
        <v>4302</v>
      </c>
      <c r="I507">
        <v>1</v>
      </c>
      <c r="J507">
        <f t="shared" si="29"/>
        <v>4302</v>
      </c>
      <c r="K507">
        <v>1</v>
      </c>
      <c r="L507">
        <f t="shared" si="30"/>
        <v>4302</v>
      </c>
      <c r="M507">
        <v>1</v>
      </c>
      <c r="N507">
        <f t="shared" si="31"/>
        <v>4302</v>
      </c>
    </row>
    <row r="508" spans="1:14" x14ac:dyDescent="0.25">
      <c r="A508">
        <f>VLOOKUP(B508,Calculations!$A$2:$B$10,2)+VLOOKUP(C508,Calculations!$C$2:$D$7,2)+VLOOKUP(D508,Calculations!$E$2:$F$6,2)+VLOOKUP(E508,Calculations!$G$2:$H$6,2)</f>
        <v>4303</v>
      </c>
      <c r="B508" t="s">
        <v>5</v>
      </c>
      <c r="C508" t="s">
        <v>18</v>
      </c>
      <c r="D508" t="s">
        <v>14</v>
      </c>
      <c r="E508" t="s">
        <v>26</v>
      </c>
      <c r="F508">
        <v>1</v>
      </c>
      <c r="G508">
        <v>1</v>
      </c>
      <c r="H508">
        <f t="shared" si="28"/>
        <v>4303</v>
      </c>
      <c r="I508">
        <v>1</v>
      </c>
      <c r="J508">
        <f t="shared" si="29"/>
        <v>4303</v>
      </c>
      <c r="K508">
        <v>1</v>
      </c>
      <c r="L508">
        <f t="shared" si="30"/>
        <v>4303</v>
      </c>
      <c r="M508">
        <v>1</v>
      </c>
      <c r="N508">
        <f t="shared" si="31"/>
        <v>4303</v>
      </c>
    </row>
    <row r="509" spans="1:14" x14ac:dyDescent="0.25">
      <c r="A509">
        <f>VLOOKUP(B509,Calculations!$A$2:$B$10,2)+VLOOKUP(C509,Calculations!$C$2:$D$7,2)+VLOOKUP(D509,Calculations!$E$2:$F$6,2)+VLOOKUP(E509,Calculations!$G$2:$H$6,2)</f>
        <v>4304</v>
      </c>
      <c r="B509" t="s">
        <v>5</v>
      </c>
      <c r="C509" t="s">
        <v>18</v>
      </c>
      <c r="D509" t="s">
        <v>15</v>
      </c>
      <c r="E509" t="s">
        <v>26</v>
      </c>
      <c r="F509">
        <v>0</v>
      </c>
      <c r="G509">
        <v>0</v>
      </c>
      <c r="H509">
        <f t="shared" si="28"/>
        <v>0</v>
      </c>
      <c r="I509">
        <v>0</v>
      </c>
      <c r="J509">
        <f t="shared" si="29"/>
        <v>0</v>
      </c>
      <c r="K509">
        <v>0</v>
      </c>
      <c r="L509">
        <f t="shared" si="30"/>
        <v>0</v>
      </c>
      <c r="M509">
        <v>0</v>
      </c>
      <c r="N509">
        <f t="shared" si="31"/>
        <v>0</v>
      </c>
    </row>
    <row r="510" spans="1:14" x14ac:dyDescent="0.25">
      <c r="A510">
        <f>VLOOKUP(B510,Calculations!$A$2:$B$10,2)+VLOOKUP(C510,Calculations!$C$2:$D$7,2)+VLOOKUP(D510,Calculations!$E$2:$F$6,2)+VLOOKUP(E510,Calculations!$G$2:$H$6,2)</f>
        <v>4311</v>
      </c>
      <c r="B510" t="s">
        <v>6</v>
      </c>
      <c r="C510" t="s">
        <v>18</v>
      </c>
      <c r="D510" t="s">
        <v>54</v>
      </c>
      <c r="E510" t="s">
        <v>26</v>
      </c>
      <c r="F510">
        <v>1</v>
      </c>
      <c r="G510">
        <v>1</v>
      </c>
      <c r="H510">
        <f t="shared" si="28"/>
        <v>4311</v>
      </c>
      <c r="I510">
        <v>1</v>
      </c>
      <c r="J510">
        <f t="shared" si="29"/>
        <v>4311</v>
      </c>
      <c r="K510">
        <v>1</v>
      </c>
      <c r="L510">
        <f t="shared" si="30"/>
        <v>4311</v>
      </c>
      <c r="M510">
        <v>1</v>
      </c>
      <c r="N510">
        <f t="shared" si="31"/>
        <v>4311</v>
      </c>
    </row>
    <row r="511" spans="1:14" x14ac:dyDescent="0.25">
      <c r="A511">
        <f>VLOOKUP(B511,Calculations!$A$2:$B$10,2)+VLOOKUP(C511,Calculations!$C$2:$D$7,2)+VLOOKUP(D511,Calculations!$E$2:$F$6,2)+VLOOKUP(E511,Calculations!$G$2:$H$6,2)</f>
        <v>4312</v>
      </c>
      <c r="B511" t="s">
        <v>6</v>
      </c>
      <c r="C511" t="s">
        <v>18</v>
      </c>
      <c r="D511" t="s">
        <v>13</v>
      </c>
      <c r="E511" t="s">
        <v>26</v>
      </c>
      <c r="F511">
        <v>1</v>
      </c>
      <c r="G511">
        <v>1</v>
      </c>
      <c r="H511">
        <f t="shared" si="28"/>
        <v>4312</v>
      </c>
      <c r="I511">
        <v>1</v>
      </c>
      <c r="J511">
        <f t="shared" si="29"/>
        <v>4312</v>
      </c>
      <c r="K511">
        <v>1</v>
      </c>
      <c r="L511">
        <f t="shared" si="30"/>
        <v>4312</v>
      </c>
      <c r="M511">
        <v>1</v>
      </c>
      <c r="N511">
        <f t="shared" si="31"/>
        <v>4312</v>
      </c>
    </row>
    <row r="512" spans="1:14" x14ac:dyDescent="0.25">
      <c r="A512">
        <f>VLOOKUP(B512,Calculations!$A$2:$B$10,2)+VLOOKUP(C512,Calculations!$C$2:$D$7,2)+VLOOKUP(D512,Calculations!$E$2:$F$6,2)+VLOOKUP(E512,Calculations!$G$2:$H$6,2)</f>
        <v>4313</v>
      </c>
      <c r="B512" t="s">
        <v>6</v>
      </c>
      <c r="C512" t="s">
        <v>18</v>
      </c>
      <c r="D512" t="s">
        <v>14</v>
      </c>
      <c r="E512" t="s">
        <v>26</v>
      </c>
      <c r="F512">
        <v>1</v>
      </c>
      <c r="G512">
        <v>1</v>
      </c>
      <c r="H512">
        <f t="shared" si="28"/>
        <v>4313</v>
      </c>
      <c r="I512">
        <v>1</v>
      </c>
      <c r="J512">
        <f t="shared" si="29"/>
        <v>4313</v>
      </c>
      <c r="K512">
        <v>1</v>
      </c>
      <c r="L512">
        <f t="shared" si="30"/>
        <v>4313</v>
      </c>
      <c r="M512">
        <v>1</v>
      </c>
      <c r="N512">
        <f t="shared" si="31"/>
        <v>4313</v>
      </c>
    </row>
    <row r="513" spans="1:14" x14ac:dyDescent="0.25">
      <c r="A513">
        <f>VLOOKUP(B513,Calculations!$A$2:$B$10,2)+VLOOKUP(C513,Calculations!$C$2:$D$7,2)+VLOOKUP(D513,Calculations!$E$2:$F$6,2)+VLOOKUP(E513,Calculations!$G$2:$H$6,2)</f>
        <v>4314</v>
      </c>
      <c r="B513" t="s">
        <v>6</v>
      </c>
      <c r="C513" t="s">
        <v>18</v>
      </c>
      <c r="D513" t="s">
        <v>15</v>
      </c>
      <c r="E513" t="s">
        <v>26</v>
      </c>
      <c r="F513">
        <v>0</v>
      </c>
      <c r="G513">
        <v>0</v>
      </c>
      <c r="H513">
        <f t="shared" si="28"/>
        <v>0</v>
      </c>
      <c r="I513">
        <v>0</v>
      </c>
      <c r="J513">
        <f t="shared" si="29"/>
        <v>0</v>
      </c>
      <c r="K513">
        <v>0</v>
      </c>
      <c r="L513">
        <f t="shared" si="30"/>
        <v>0</v>
      </c>
      <c r="M513">
        <v>0</v>
      </c>
      <c r="N513">
        <f t="shared" si="31"/>
        <v>0</v>
      </c>
    </row>
    <row r="514" spans="1:14" x14ac:dyDescent="0.25">
      <c r="A514">
        <f>VLOOKUP(B514,Calculations!$A$2:$B$10,2)+VLOOKUP(C514,Calculations!$C$2:$D$7,2)+VLOOKUP(D514,Calculations!$E$2:$F$6,2)+VLOOKUP(E514,Calculations!$G$2:$H$6,2)</f>
        <v>4321</v>
      </c>
      <c r="B514" t="s">
        <v>7</v>
      </c>
      <c r="C514" t="s">
        <v>18</v>
      </c>
      <c r="D514" t="s">
        <v>54</v>
      </c>
      <c r="E514" t="s">
        <v>26</v>
      </c>
      <c r="F514">
        <v>1</v>
      </c>
      <c r="G514">
        <v>1</v>
      </c>
      <c r="H514">
        <f t="shared" ref="H514:H577" si="32">A514*G514</f>
        <v>4321</v>
      </c>
      <c r="I514">
        <v>1</v>
      </c>
      <c r="J514">
        <f t="shared" ref="J514:J577" si="33">A514*I514</f>
        <v>4321</v>
      </c>
      <c r="K514">
        <v>1</v>
      </c>
      <c r="L514">
        <f t="shared" ref="L514:L577" si="34">K514*A514</f>
        <v>4321</v>
      </c>
      <c r="M514">
        <v>1</v>
      </c>
      <c r="N514">
        <f t="shared" ref="N514:N577" si="35">A514*M514</f>
        <v>4321</v>
      </c>
    </row>
    <row r="515" spans="1:14" x14ac:dyDescent="0.25">
      <c r="A515">
        <f>VLOOKUP(B515,Calculations!$A$2:$B$10,2)+VLOOKUP(C515,Calculations!$C$2:$D$7,2)+VLOOKUP(D515,Calculations!$E$2:$F$6,2)+VLOOKUP(E515,Calculations!$G$2:$H$6,2)</f>
        <v>4322</v>
      </c>
      <c r="B515" t="s">
        <v>7</v>
      </c>
      <c r="C515" t="s">
        <v>18</v>
      </c>
      <c r="D515" t="s">
        <v>13</v>
      </c>
      <c r="E515" t="s">
        <v>26</v>
      </c>
      <c r="F515">
        <v>1</v>
      </c>
      <c r="G515">
        <v>1</v>
      </c>
      <c r="H515">
        <f t="shared" si="32"/>
        <v>4322</v>
      </c>
      <c r="I515">
        <v>1</v>
      </c>
      <c r="J515">
        <f t="shared" si="33"/>
        <v>4322</v>
      </c>
      <c r="K515">
        <v>1</v>
      </c>
      <c r="L515">
        <f t="shared" si="34"/>
        <v>4322</v>
      </c>
      <c r="M515">
        <v>1</v>
      </c>
      <c r="N515">
        <f t="shared" si="35"/>
        <v>4322</v>
      </c>
    </row>
    <row r="516" spans="1:14" x14ac:dyDescent="0.25">
      <c r="A516">
        <f>VLOOKUP(B516,Calculations!$A$2:$B$10,2)+VLOOKUP(C516,Calculations!$C$2:$D$7,2)+VLOOKUP(D516,Calculations!$E$2:$F$6,2)+VLOOKUP(E516,Calculations!$G$2:$H$6,2)</f>
        <v>4323</v>
      </c>
      <c r="B516" t="s">
        <v>7</v>
      </c>
      <c r="C516" t="s">
        <v>18</v>
      </c>
      <c r="D516" t="s">
        <v>14</v>
      </c>
      <c r="E516" t="s">
        <v>26</v>
      </c>
      <c r="F516">
        <v>1</v>
      </c>
      <c r="G516">
        <v>1</v>
      </c>
      <c r="H516">
        <f t="shared" si="32"/>
        <v>4323</v>
      </c>
      <c r="I516">
        <v>1</v>
      </c>
      <c r="J516">
        <f t="shared" si="33"/>
        <v>4323</v>
      </c>
      <c r="K516">
        <v>1</v>
      </c>
      <c r="L516">
        <f t="shared" si="34"/>
        <v>4323</v>
      </c>
      <c r="M516">
        <v>1</v>
      </c>
      <c r="N516">
        <f t="shared" si="35"/>
        <v>4323</v>
      </c>
    </row>
    <row r="517" spans="1:14" x14ac:dyDescent="0.25">
      <c r="A517">
        <f>VLOOKUP(B517,Calculations!$A$2:$B$10,2)+VLOOKUP(C517,Calculations!$C$2:$D$7,2)+VLOOKUP(D517,Calculations!$E$2:$F$6,2)+VLOOKUP(E517,Calculations!$G$2:$H$6,2)</f>
        <v>4324</v>
      </c>
      <c r="B517" t="s">
        <v>7</v>
      </c>
      <c r="C517" t="s">
        <v>18</v>
      </c>
      <c r="D517" t="s">
        <v>15</v>
      </c>
      <c r="E517" t="s">
        <v>26</v>
      </c>
      <c r="F517">
        <v>1</v>
      </c>
      <c r="G517">
        <v>1</v>
      </c>
      <c r="H517">
        <f t="shared" si="32"/>
        <v>4324</v>
      </c>
      <c r="I517">
        <v>1</v>
      </c>
      <c r="J517">
        <f t="shared" si="33"/>
        <v>4324</v>
      </c>
      <c r="K517">
        <v>1</v>
      </c>
      <c r="L517">
        <f t="shared" si="34"/>
        <v>4324</v>
      </c>
      <c r="M517">
        <v>1</v>
      </c>
      <c r="N517">
        <f t="shared" si="35"/>
        <v>4324</v>
      </c>
    </row>
    <row r="518" spans="1:14" x14ac:dyDescent="0.25">
      <c r="A518">
        <f>VLOOKUP(B518,Calculations!$A$2:$B$10,2)+VLOOKUP(C518,Calculations!$C$2:$D$7,2)+VLOOKUP(D518,Calculations!$E$2:$F$6,2)+VLOOKUP(E518,Calculations!$G$2:$H$6,2)</f>
        <v>4331</v>
      </c>
      <c r="B518" t="s">
        <v>53</v>
      </c>
      <c r="C518" t="s">
        <v>18</v>
      </c>
      <c r="D518" t="s">
        <v>54</v>
      </c>
      <c r="E518" t="s">
        <v>26</v>
      </c>
      <c r="F518">
        <v>1</v>
      </c>
      <c r="G518">
        <v>1</v>
      </c>
      <c r="H518">
        <f t="shared" si="32"/>
        <v>4331</v>
      </c>
      <c r="I518">
        <v>1</v>
      </c>
      <c r="J518">
        <f t="shared" si="33"/>
        <v>4331</v>
      </c>
      <c r="K518">
        <v>1</v>
      </c>
      <c r="L518">
        <f t="shared" si="34"/>
        <v>4331</v>
      </c>
      <c r="M518">
        <v>1</v>
      </c>
      <c r="N518">
        <f t="shared" si="35"/>
        <v>4331</v>
      </c>
    </row>
    <row r="519" spans="1:14" x14ac:dyDescent="0.25">
      <c r="A519">
        <f>VLOOKUP(B519,Calculations!$A$2:$B$10,2)+VLOOKUP(C519,Calculations!$C$2:$D$7,2)+VLOOKUP(D519,Calculations!$E$2:$F$6,2)+VLOOKUP(E519,Calculations!$G$2:$H$6,2)</f>
        <v>4332</v>
      </c>
      <c r="B519" t="s">
        <v>53</v>
      </c>
      <c r="C519" t="s">
        <v>18</v>
      </c>
      <c r="D519" t="s">
        <v>13</v>
      </c>
      <c r="E519" t="s">
        <v>26</v>
      </c>
      <c r="F519">
        <v>1</v>
      </c>
      <c r="G519">
        <v>1</v>
      </c>
      <c r="H519">
        <f t="shared" si="32"/>
        <v>4332</v>
      </c>
      <c r="I519">
        <v>1</v>
      </c>
      <c r="J519">
        <f t="shared" si="33"/>
        <v>4332</v>
      </c>
      <c r="K519">
        <v>1</v>
      </c>
      <c r="L519">
        <f t="shared" si="34"/>
        <v>4332</v>
      </c>
      <c r="M519">
        <v>1</v>
      </c>
      <c r="N519">
        <f t="shared" si="35"/>
        <v>4332</v>
      </c>
    </row>
    <row r="520" spans="1:14" x14ac:dyDescent="0.25">
      <c r="A520">
        <f>VLOOKUP(B520,Calculations!$A$2:$B$10,2)+VLOOKUP(C520,Calculations!$C$2:$D$7,2)+VLOOKUP(D520,Calculations!$E$2:$F$6,2)+VLOOKUP(E520,Calculations!$G$2:$H$6,2)</f>
        <v>4333</v>
      </c>
      <c r="B520" t="s">
        <v>53</v>
      </c>
      <c r="C520" t="s">
        <v>18</v>
      </c>
      <c r="D520" t="s">
        <v>14</v>
      </c>
      <c r="E520" t="s">
        <v>26</v>
      </c>
      <c r="F520">
        <v>1</v>
      </c>
      <c r="G520">
        <v>1</v>
      </c>
      <c r="H520">
        <f t="shared" si="32"/>
        <v>4333</v>
      </c>
      <c r="I520">
        <v>1</v>
      </c>
      <c r="J520">
        <f t="shared" si="33"/>
        <v>4333</v>
      </c>
      <c r="K520">
        <v>1</v>
      </c>
      <c r="L520">
        <f t="shared" si="34"/>
        <v>4333</v>
      </c>
      <c r="M520">
        <v>1</v>
      </c>
      <c r="N520">
        <f t="shared" si="35"/>
        <v>4333</v>
      </c>
    </row>
    <row r="521" spans="1:14" x14ac:dyDescent="0.25">
      <c r="A521">
        <f>VLOOKUP(B521,Calculations!$A$2:$B$10,2)+VLOOKUP(C521,Calculations!$C$2:$D$7,2)+VLOOKUP(D521,Calculations!$E$2:$F$6,2)+VLOOKUP(E521,Calculations!$G$2:$H$6,2)</f>
        <v>4334</v>
      </c>
      <c r="B521" t="s">
        <v>53</v>
      </c>
      <c r="C521" t="s">
        <v>18</v>
      </c>
      <c r="D521" t="s">
        <v>15</v>
      </c>
      <c r="E521" t="s">
        <v>26</v>
      </c>
      <c r="F521">
        <v>1</v>
      </c>
      <c r="G521">
        <v>1</v>
      </c>
      <c r="H521">
        <f t="shared" si="32"/>
        <v>4334</v>
      </c>
      <c r="I521">
        <v>1</v>
      </c>
      <c r="J521">
        <f t="shared" si="33"/>
        <v>4334</v>
      </c>
      <c r="K521">
        <v>1</v>
      </c>
      <c r="L521">
        <f t="shared" si="34"/>
        <v>4334</v>
      </c>
      <c r="M521">
        <v>1</v>
      </c>
      <c r="N521">
        <f t="shared" si="35"/>
        <v>4334</v>
      </c>
    </row>
    <row r="522" spans="1:14" x14ac:dyDescent="0.25">
      <c r="A522">
        <f>VLOOKUP(B522,Calculations!$A$2:$B$10,2)+VLOOKUP(C522,Calculations!$C$2:$D$7,2)+VLOOKUP(D522,Calculations!$E$2:$F$6,2)+VLOOKUP(E522,Calculations!$G$2:$H$6,2)</f>
        <v>4341</v>
      </c>
      <c r="B522" t="s">
        <v>9</v>
      </c>
      <c r="C522" t="s">
        <v>18</v>
      </c>
      <c r="D522" t="s">
        <v>54</v>
      </c>
      <c r="E522" t="s">
        <v>26</v>
      </c>
      <c r="F522">
        <v>1</v>
      </c>
      <c r="G522">
        <v>1</v>
      </c>
      <c r="H522">
        <f t="shared" si="32"/>
        <v>4341</v>
      </c>
      <c r="I522">
        <v>1</v>
      </c>
      <c r="J522">
        <f t="shared" si="33"/>
        <v>4341</v>
      </c>
      <c r="K522">
        <v>1</v>
      </c>
      <c r="L522">
        <f t="shared" si="34"/>
        <v>4341</v>
      </c>
      <c r="M522">
        <v>1</v>
      </c>
      <c r="N522">
        <f t="shared" si="35"/>
        <v>4341</v>
      </c>
    </row>
    <row r="523" spans="1:14" x14ac:dyDescent="0.25">
      <c r="A523">
        <f>VLOOKUP(B523,Calculations!$A$2:$B$10,2)+VLOOKUP(C523,Calculations!$C$2:$D$7,2)+VLOOKUP(D523,Calculations!$E$2:$F$6,2)+VLOOKUP(E523,Calculations!$G$2:$H$6,2)</f>
        <v>4342</v>
      </c>
      <c r="B523" t="s">
        <v>9</v>
      </c>
      <c r="C523" t="s">
        <v>18</v>
      </c>
      <c r="D523" t="s">
        <v>13</v>
      </c>
      <c r="E523" t="s">
        <v>26</v>
      </c>
      <c r="F523">
        <v>0</v>
      </c>
      <c r="G523">
        <v>0</v>
      </c>
      <c r="H523">
        <f t="shared" si="32"/>
        <v>0</v>
      </c>
      <c r="I523">
        <v>0</v>
      </c>
      <c r="J523">
        <f t="shared" si="33"/>
        <v>0</v>
      </c>
      <c r="K523">
        <v>0</v>
      </c>
      <c r="L523">
        <f t="shared" si="34"/>
        <v>0</v>
      </c>
      <c r="M523">
        <v>0</v>
      </c>
      <c r="N523">
        <f t="shared" si="35"/>
        <v>0</v>
      </c>
    </row>
    <row r="524" spans="1:14" x14ac:dyDescent="0.25">
      <c r="A524">
        <f>VLOOKUP(B524,Calculations!$A$2:$B$10,2)+VLOOKUP(C524,Calculations!$C$2:$D$7,2)+VLOOKUP(D524,Calculations!$E$2:$F$6,2)+VLOOKUP(E524,Calculations!$G$2:$H$6,2)</f>
        <v>4343</v>
      </c>
      <c r="B524" t="s">
        <v>9</v>
      </c>
      <c r="C524" t="s">
        <v>18</v>
      </c>
      <c r="D524" t="s">
        <v>14</v>
      </c>
      <c r="E524" t="s">
        <v>26</v>
      </c>
      <c r="F524">
        <v>0</v>
      </c>
      <c r="G524">
        <v>0</v>
      </c>
      <c r="H524">
        <f t="shared" si="32"/>
        <v>0</v>
      </c>
      <c r="I524">
        <v>0</v>
      </c>
      <c r="J524">
        <f t="shared" si="33"/>
        <v>0</v>
      </c>
      <c r="K524">
        <v>0</v>
      </c>
      <c r="L524">
        <f t="shared" si="34"/>
        <v>0</v>
      </c>
      <c r="M524">
        <v>0</v>
      </c>
      <c r="N524">
        <f t="shared" si="35"/>
        <v>0</v>
      </c>
    </row>
    <row r="525" spans="1:14" x14ac:dyDescent="0.25">
      <c r="A525">
        <f>VLOOKUP(B525,Calculations!$A$2:$B$10,2)+VLOOKUP(C525,Calculations!$C$2:$D$7,2)+VLOOKUP(D525,Calculations!$E$2:$F$6,2)+VLOOKUP(E525,Calculations!$G$2:$H$6,2)</f>
        <v>4344</v>
      </c>
      <c r="B525" t="s">
        <v>9</v>
      </c>
      <c r="C525" t="s">
        <v>18</v>
      </c>
      <c r="D525" t="s">
        <v>15</v>
      </c>
      <c r="E525" t="s">
        <v>26</v>
      </c>
      <c r="F525">
        <v>0</v>
      </c>
      <c r="G525">
        <v>0</v>
      </c>
      <c r="H525">
        <f t="shared" si="32"/>
        <v>0</v>
      </c>
      <c r="I525">
        <v>0</v>
      </c>
      <c r="J525">
        <f t="shared" si="33"/>
        <v>0</v>
      </c>
      <c r="K525">
        <v>0</v>
      </c>
      <c r="L525">
        <f t="shared" si="34"/>
        <v>0</v>
      </c>
      <c r="M525">
        <v>0</v>
      </c>
      <c r="N525">
        <f t="shared" si="35"/>
        <v>0</v>
      </c>
    </row>
    <row r="526" spans="1:14" x14ac:dyDescent="0.25">
      <c r="A526">
        <f>VLOOKUP(B526,Calculations!$A$2:$B$10,2)+VLOOKUP(C526,Calculations!$C$2:$D$7,2)+VLOOKUP(D526,Calculations!$E$2:$F$6,2)+VLOOKUP(E526,Calculations!$G$2:$H$6,2)</f>
        <v>4351</v>
      </c>
      <c r="B526" t="s">
        <v>50</v>
      </c>
      <c r="C526" t="s">
        <v>18</v>
      </c>
      <c r="D526" t="s">
        <v>54</v>
      </c>
      <c r="E526" t="s">
        <v>26</v>
      </c>
      <c r="F526">
        <v>1</v>
      </c>
      <c r="G526">
        <v>1</v>
      </c>
      <c r="H526">
        <f t="shared" si="32"/>
        <v>4351</v>
      </c>
      <c r="I526">
        <v>1</v>
      </c>
      <c r="J526">
        <f t="shared" si="33"/>
        <v>4351</v>
      </c>
      <c r="K526">
        <v>1</v>
      </c>
      <c r="L526">
        <f t="shared" si="34"/>
        <v>4351</v>
      </c>
      <c r="M526">
        <v>1</v>
      </c>
      <c r="N526">
        <f t="shared" si="35"/>
        <v>4351</v>
      </c>
    </row>
    <row r="527" spans="1:14" x14ac:dyDescent="0.25">
      <c r="A527">
        <f>VLOOKUP(B527,Calculations!$A$2:$B$10,2)+VLOOKUP(C527,Calculations!$C$2:$D$7,2)+VLOOKUP(D527,Calculations!$E$2:$F$6,2)+VLOOKUP(E527,Calculations!$G$2:$H$6,2)</f>
        <v>4352</v>
      </c>
      <c r="B527" t="s">
        <v>50</v>
      </c>
      <c r="C527" t="s">
        <v>18</v>
      </c>
      <c r="D527" t="s">
        <v>13</v>
      </c>
      <c r="E527" t="s">
        <v>26</v>
      </c>
      <c r="F527">
        <v>1</v>
      </c>
      <c r="G527">
        <v>1</v>
      </c>
      <c r="H527">
        <f t="shared" si="32"/>
        <v>4352</v>
      </c>
      <c r="I527">
        <v>1</v>
      </c>
      <c r="J527">
        <f t="shared" si="33"/>
        <v>4352</v>
      </c>
      <c r="K527">
        <v>1</v>
      </c>
      <c r="L527">
        <f t="shared" si="34"/>
        <v>4352</v>
      </c>
      <c r="M527">
        <v>1</v>
      </c>
      <c r="N527">
        <f t="shared" si="35"/>
        <v>4352</v>
      </c>
    </row>
    <row r="528" spans="1:14" x14ac:dyDescent="0.25">
      <c r="A528">
        <f>VLOOKUP(B528,Calculations!$A$2:$B$10,2)+VLOOKUP(C528,Calculations!$C$2:$D$7,2)+VLOOKUP(D528,Calculations!$E$2:$F$6,2)+VLOOKUP(E528,Calculations!$G$2:$H$6,2)</f>
        <v>4353</v>
      </c>
      <c r="B528" t="s">
        <v>50</v>
      </c>
      <c r="C528" t="s">
        <v>18</v>
      </c>
      <c r="D528" t="s">
        <v>14</v>
      </c>
      <c r="E528" t="s">
        <v>26</v>
      </c>
      <c r="F528">
        <v>1</v>
      </c>
      <c r="G528">
        <v>1</v>
      </c>
      <c r="H528">
        <f t="shared" si="32"/>
        <v>4353</v>
      </c>
      <c r="I528">
        <v>1</v>
      </c>
      <c r="J528">
        <f t="shared" si="33"/>
        <v>4353</v>
      </c>
      <c r="K528">
        <v>1</v>
      </c>
      <c r="L528">
        <f t="shared" si="34"/>
        <v>4353</v>
      </c>
      <c r="M528">
        <v>1</v>
      </c>
      <c r="N528">
        <f t="shared" si="35"/>
        <v>4353</v>
      </c>
    </row>
    <row r="529" spans="1:14" x14ac:dyDescent="0.25">
      <c r="A529">
        <f>VLOOKUP(B529,Calculations!$A$2:$B$10,2)+VLOOKUP(C529,Calculations!$C$2:$D$7,2)+VLOOKUP(D529,Calculations!$E$2:$F$6,2)+VLOOKUP(E529,Calculations!$G$2:$H$6,2)</f>
        <v>4354</v>
      </c>
      <c r="B529" t="s">
        <v>50</v>
      </c>
      <c r="C529" t="s">
        <v>18</v>
      </c>
      <c r="D529" t="s">
        <v>15</v>
      </c>
      <c r="E529" t="s">
        <v>26</v>
      </c>
      <c r="F529">
        <v>1</v>
      </c>
      <c r="G529">
        <v>1</v>
      </c>
      <c r="H529">
        <f t="shared" si="32"/>
        <v>4354</v>
      </c>
      <c r="I529">
        <v>1</v>
      </c>
      <c r="J529">
        <f t="shared" si="33"/>
        <v>4354</v>
      </c>
      <c r="K529">
        <v>1</v>
      </c>
      <c r="L529">
        <f t="shared" si="34"/>
        <v>4354</v>
      </c>
      <c r="M529">
        <v>1</v>
      </c>
      <c r="N529">
        <f t="shared" si="35"/>
        <v>4354</v>
      </c>
    </row>
    <row r="530" spans="1:14" x14ac:dyDescent="0.25">
      <c r="A530">
        <f>VLOOKUP(B530,Calculations!$A$2:$B$10,2)+VLOOKUP(C530,Calculations!$C$2:$D$7,2)+VLOOKUP(D530,Calculations!$E$2:$F$6,2)+VLOOKUP(E530,Calculations!$G$2:$H$6,2)</f>
        <v>4361</v>
      </c>
      <c r="B530" t="s">
        <v>51</v>
      </c>
      <c r="C530" t="s">
        <v>18</v>
      </c>
      <c r="D530" t="s">
        <v>54</v>
      </c>
      <c r="E530" t="s">
        <v>26</v>
      </c>
      <c r="F530">
        <v>1</v>
      </c>
      <c r="G530">
        <v>0</v>
      </c>
      <c r="H530">
        <f t="shared" si="32"/>
        <v>0</v>
      </c>
      <c r="I530">
        <v>0</v>
      </c>
      <c r="J530">
        <f t="shared" si="33"/>
        <v>0</v>
      </c>
      <c r="K530">
        <v>1</v>
      </c>
      <c r="L530">
        <f t="shared" si="34"/>
        <v>4361</v>
      </c>
      <c r="M530">
        <v>1</v>
      </c>
      <c r="N530">
        <f t="shared" si="35"/>
        <v>4361</v>
      </c>
    </row>
    <row r="531" spans="1:14" x14ac:dyDescent="0.25">
      <c r="A531">
        <f>VLOOKUP(B531,Calculations!$A$2:$B$10,2)+VLOOKUP(C531,Calculations!$C$2:$D$7,2)+VLOOKUP(D531,Calculations!$E$2:$F$6,2)+VLOOKUP(E531,Calculations!$G$2:$H$6,2)</f>
        <v>4362</v>
      </c>
      <c r="B531" t="s">
        <v>51</v>
      </c>
      <c r="C531" t="s">
        <v>18</v>
      </c>
      <c r="D531" t="s">
        <v>13</v>
      </c>
      <c r="E531" t="s">
        <v>26</v>
      </c>
      <c r="F531">
        <v>1</v>
      </c>
      <c r="G531">
        <v>0</v>
      </c>
      <c r="H531">
        <f t="shared" si="32"/>
        <v>0</v>
      </c>
      <c r="I531">
        <v>0</v>
      </c>
      <c r="J531">
        <f t="shared" si="33"/>
        <v>0</v>
      </c>
      <c r="K531">
        <v>1</v>
      </c>
      <c r="L531">
        <f t="shared" si="34"/>
        <v>4362</v>
      </c>
      <c r="M531">
        <v>1</v>
      </c>
      <c r="N531">
        <f t="shared" si="35"/>
        <v>4362</v>
      </c>
    </row>
    <row r="532" spans="1:14" x14ac:dyDescent="0.25">
      <c r="A532">
        <f>VLOOKUP(B532,Calculations!$A$2:$B$10,2)+VLOOKUP(C532,Calculations!$C$2:$D$7,2)+VLOOKUP(D532,Calculations!$E$2:$F$6,2)+VLOOKUP(E532,Calculations!$G$2:$H$6,2)</f>
        <v>4363</v>
      </c>
      <c r="B532" t="s">
        <v>51</v>
      </c>
      <c r="C532" t="s">
        <v>18</v>
      </c>
      <c r="D532" t="s">
        <v>14</v>
      </c>
      <c r="E532" t="s">
        <v>26</v>
      </c>
      <c r="F532">
        <v>1</v>
      </c>
      <c r="G532">
        <v>0</v>
      </c>
      <c r="H532">
        <f t="shared" si="32"/>
        <v>0</v>
      </c>
      <c r="I532">
        <v>0</v>
      </c>
      <c r="J532">
        <f t="shared" si="33"/>
        <v>0</v>
      </c>
      <c r="K532">
        <v>1</v>
      </c>
      <c r="L532">
        <f t="shared" si="34"/>
        <v>4363</v>
      </c>
      <c r="M532">
        <v>1</v>
      </c>
      <c r="N532">
        <f t="shared" si="35"/>
        <v>4363</v>
      </c>
    </row>
    <row r="533" spans="1:14" x14ac:dyDescent="0.25">
      <c r="A533">
        <f>VLOOKUP(B533,Calculations!$A$2:$B$10,2)+VLOOKUP(C533,Calculations!$C$2:$D$7,2)+VLOOKUP(D533,Calculations!$E$2:$F$6,2)+VLOOKUP(E533,Calculations!$G$2:$H$6,2)</f>
        <v>4364</v>
      </c>
      <c r="B533" t="s">
        <v>51</v>
      </c>
      <c r="C533" t="s">
        <v>18</v>
      </c>
      <c r="D533" t="s">
        <v>15</v>
      </c>
      <c r="E533" t="s">
        <v>26</v>
      </c>
      <c r="F533">
        <v>1</v>
      </c>
      <c r="G533">
        <v>0</v>
      </c>
      <c r="H533">
        <f t="shared" si="32"/>
        <v>0</v>
      </c>
      <c r="I533">
        <v>0</v>
      </c>
      <c r="J533">
        <f t="shared" si="33"/>
        <v>0</v>
      </c>
      <c r="K533">
        <v>1</v>
      </c>
      <c r="L533">
        <f t="shared" si="34"/>
        <v>4364</v>
      </c>
      <c r="M533">
        <v>1</v>
      </c>
      <c r="N533">
        <f t="shared" si="35"/>
        <v>4364</v>
      </c>
    </row>
    <row r="534" spans="1:14" x14ac:dyDescent="0.25">
      <c r="A534">
        <f>VLOOKUP(B534,Calculations!$A$2:$B$10,2)+VLOOKUP(C534,Calculations!$C$2:$D$7,2)+VLOOKUP(D534,Calculations!$E$2:$F$6,2)+VLOOKUP(E534,Calculations!$G$2:$H$6,2)</f>
        <v>4371</v>
      </c>
      <c r="B534" t="s">
        <v>52</v>
      </c>
      <c r="C534" t="s">
        <v>18</v>
      </c>
      <c r="D534" t="s">
        <v>54</v>
      </c>
      <c r="E534" t="s">
        <v>26</v>
      </c>
      <c r="F534">
        <v>1</v>
      </c>
      <c r="G534">
        <v>1</v>
      </c>
      <c r="H534">
        <f t="shared" si="32"/>
        <v>4371</v>
      </c>
      <c r="I534">
        <v>0</v>
      </c>
      <c r="J534">
        <f t="shared" si="33"/>
        <v>0</v>
      </c>
      <c r="K534">
        <v>1</v>
      </c>
      <c r="L534">
        <f t="shared" si="34"/>
        <v>4371</v>
      </c>
      <c r="M534">
        <v>1</v>
      </c>
      <c r="N534">
        <f t="shared" si="35"/>
        <v>4371</v>
      </c>
    </row>
    <row r="535" spans="1:14" x14ac:dyDescent="0.25">
      <c r="A535">
        <f>VLOOKUP(B535,Calculations!$A$2:$B$10,2)+VLOOKUP(C535,Calculations!$C$2:$D$7,2)+VLOOKUP(D535,Calculations!$E$2:$F$6,2)+VLOOKUP(E535,Calculations!$G$2:$H$6,2)</f>
        <v>4372</v>
      </c>
      <c r="B535" t="s">
        <v>52</v>
      </c>
      <c r="C535" t="s">
        <v>18</v>
      </c>
      <c r="D535" t="s">
        <v>13</v>
      </c>
      <c r="E535" t="s">
        <v>26</v>
      </c>
      <c r="F535">
        <v>1</v>
      </c>
      <c r="G535">
        <v>1</v>
      </c>
      <c r="H535">
        <f t="shared" si="32"/>
        <v>4372</v>
      </c>
      <c r="I535">
        <v>0</v>
      </c>
      <c r="J535">
        <f t="shared" si="33"/>
        <v>0</v>
      </c>
      <c r="K535">
        <v>1</v>
      </c>
      <c r="L535">
        <f t="shared" si="34"/>
        <v>4372</v>
      </c>
      <c r="M535">
        <v>1</v>
      </c>
      <c r="N535">
        <f t="shared" si="35"/>
        <v>4372</v>
      </c>
    </row>
    <row r="536" spans="1:14" x14ac:dyDescent="0.25">
      <c r="A536">
        <f>VLOOKUP(B536,Calculations!$A$2:$B$10,2)+VLOOKUP(C536,Calculations!$C$2:$D$7,2)+VLOOKUP(D536,Calculations!$E$2:$F$6,2)+VLOOKUP(E536,Calculations!$G$2:$H$6,2)</f>
        <v>4373</v>
      </c>
      <c r="B536" t="s">
        <v>52</v>
      </c>
      <c r="C536" t="s">
        <v>18</v>
      </c>
      <c r="D536" t="s">
        <v>14</v>
      </c>
      <c r="E536" t="s">
        <v>26</v>
      </c>
      <c r="F536">
        <v>1</v>
      </c>
      <c r="G536">
        <v>1</v>
      </c>
      <c r="H536">
        <f t="shared" si="32"/>
        <v>4373</v>
      </c>
      <c r="I536">
        <v>0</v>
      </c>
      <c r="J536">
        <f t="shared" si="33"/>
        <v>0</v>
      </c>
      <c r="K536">
        <v>1</v>
      </c>
      <c r="L536">
        <f t="shared" si="34"/>
        <v>4373</v>
      </c>
      <c r="M536">
        <v>1</v>
      </c>
      <c r="N536">
        <f t="shared" si="35"/>
        <v>4373</v>
      </c>
    </row>
    <row r="537" spans="1:14" x14ac:dyDescent="0.25">
      <c r="A537">
        <f>VLOOKUP(B537,Calculations!$A$2:$B$10,2)+VLOOKUP(C537,Calculations!$C$2:$D$7,2)+VLOOKUP(D537,Calculations!$E$2:$F$6,2)+VLOOKUP(E537,Calculations!$G$2:$H$6,2)</f>
        <v>4374</v>
      </c>
      <c r="B537" t="s">
        <v>52</v>
      </c>
      <c r="C537" t="s">
        <v>18</v>
      </c>
      <c r="D537" t="s">
        <v>15</v>
      </c>
      <c r="E537" t="s">
        <v>26</v>
      </c>
      <c r="F537">
        <v>1</v>
      </c>
      <c r="G537">
        <v>1</v>
      </c>
      <c r="H537">
        <f t="shared" si="32"/>
        <v>4374</v>
      </c>
      <c r="I537">
        <v>0</v>
      </c>
      <c r="J537">
        <f t="shared" si="33"/>
        <v>0</v>
      </c>
      <c r="K537">
        <v>1</v>
      </c>
      <c r="L537">
        <f t="shared" si="34"/>
        <v>4374</v>
      </c>
      <c r="M537">
        <v>1</v>
      </c>
      <c r="N537">
        <f t="shared" si="35"/>
        <v>4374</v>
      </c>
    </row>
    <row r="538" spans="1:14" x14ac:dyDescent="0.25">
      <c r="A538">
        <f>VLOOKUP(B538,Calculations!$A$2:$B$10,2)+VLOOKUP(C538,Calculations!$C$2:$D$7,2)+VLOOKUP(D538,Calculations!$E$2:$F$6,2)+VLOOKUP(E538,Calculations!$G$2:$H$6,2)</f>
        <v>4381</v>
      </c>
      <c r="B538" t="s">
        <v>8</v>
      </c>
      <c r="C538" t="s">
        <v>18</v>
      </c>
      <c r="D538" t="s">
        <v>54</v>
      </c>
      <c r="E538" t="s">
        <v>26</v>
      </c>
      <c r="F538">
        <v>1</v>
      </c>
      <c r="G538">
        <v>1</v>
      </c>
      <c r="H538">
        <f t="shared" si="32"/>
        <v>4381</v>
      </c>
      <c r="I538">
        <v>0</v>
      </c>
      <c r="J538">
        <f t="shared" si="33"/>
        <v>0</v>
      </c>
      <c r="K538">
        <v>0</v>
      </c>
      <c r="L538">
        <f t="shared" si="34"/>
        <v>0</v>
      </c>
      <c r="M538">
        <v>1</v>
      </c>
      <c r="N538">
        <f t="shared" si="35"/>
        <v>4381</v>
      </c>
    </row>
    <row r="539" spans="1:14" x14ac:dyDescent="0.25">
      <c r="A539">
        <f>VLOOKUP(B539,Calculations!$A$2:$B$10,2)+VLOOKUP(C539,Calculations!$C$2:$D$7,2)+VLOOKUP(D539,Calculations!$E$2:$F$6,2)+VLOOKUP(E539,Calculations!$G$2:$H$6,2)</f>
        <v>4382</v>
      </c>
      <c r="B539" t="s">
        <v>8</v>
      </c>
      <c r="C539" t="s">
        <v>18</v>
      </c>
      <c r="D539" t="s">
        <v>13</v>
      </c>
      <c r="E539" t="s">
        <v>26</v>
      </c>
      <c r="F539">
        <v>1</v>
      </c>
      <c r="G539">
        <v>1</v>
      </c>
      <c r="H539">
        <f t="shared" si="32"/>
        <v>4382</v>
      </c>
      <c r="I539">
        <v>0</v>
      </c>
      <c r="J539">
        <f t="shared" si="33"/>
        <v>0</v>
      </c>
      <c r="K539">
        <v>0</v>
      </c>
      <c r="L539">
        <f t="shared" si="34"/>
        <v>0</v>
      </c>
      <c r="M539">
        <v>1</v>
      </c>
      <c r="N539">
        <f t="shared" si="35"/>
        <v>4382</v>
      </c>
    </row>
    <row r="540" spans="1:14" x14ac:dyDescent="0.25">
      <c r="A540">
        <f>VLOOKUP(B540,Calculations!$A$2:$B$10,2)+VLOOKUP(C540,Calculations!$C$2:$D$7,2)+VLOOKUP(D540,Calculations!$E$2:$F$6,2)+VLOOKUP(E540,Calculations!$G$2:$H$6,2)</f>
        <v>4383</v>
      </c>
      <c r="B540" t="s">
        <v>8</v>
      </c>
      <c r="C540" t="s">
        <v>18</v>
      </c>
      <c r="D540" t="s">
        <v>14</v>
      </c>
      <c r="E540" t="s">
        <v>26</v>
      </c>
      <c r="F540">
        <v>1</v>
      </c>
      <c r="G540">
        <v>1</v>
      </c>
      <c r="H540">
        <f t="shared" si="32"/>
        <v>4383</v>
      </c>
      <c r="I540">
        <v>0</v>
      </c>
      <c r="J540">
        <f t="shared" si="33"/>
        <v>0</v>
      </c>
      <c r="K540">
        <v>0</v>
      </c>
      <c r="L540">
        <f t="shared" si="34"/>
        <v>0</v>
      </c>
      <c r="M540">
        <v>1</v>
      </c>
      <c r="N540">
        <f t="shared" si="35"/>
        <v>4383</v>
      </c>
    </row>
    <row r="541" spans="1:14" x14ac:dyDescent="0.25">
      <c r="A541">
        <f>VLOOKUP(B541,Calculations!$A$2:$B$10,2)+VLOOKUP(C541,Calculations!$C$2:$D$7,2)+VLOOKUP(D541,Calculations!$E$2:$F$6,2)+VLOOKUP(E541,Calculations!$G$2:$H$6,2)</f>
        <v>4384</v>
      </c>
      <c r="B541" t="s">
        <v>8</v>
      </c>
      <c r="C541" t="s">
        <v>18</v>
      </c>
      <c r="D541" t="s">
        <v>15</v>
      </c>
      <c r="E541" t="s">
        <v>26</v>
      </c>
      <c r="F541">
        <v>1</v>
      </c>
      <c r="G541">
        <v>1</v>
      </c>
      <c r="H541">
        <f t="shared" si="32"/>
        <v>4384</v>
      </c>
      <c r="I541">
        <v>0</v>
      </c>
      <c r="J541">
        <f t="shared" si="33"/>
        <v>0</v>
      </c>
      <c r="K541">
        <v>0</v>
      </c>
      <c r="L541">
        <f t="shared" si="34"/>
        <v>0</v>
      </c>
      <c r="M541">
        <v>1</v>
      </c>
      <c r="N541">
        <f t="shared" si="35"/>
        <v>4384</v>
      </c>
    </row>
    <row r="542" spans="1:14" x14ac:dyDescent="0.25">
      <c r="A542">
        <f>VLOOKUP(B542,Calculations!$A$2:$B$10,2)+VLOOKUP(C542,Calculations!$C$2:$D$7,2)+VLOOKUP(D542,Calculations!$E$2:$F$6,2)+VLOOKUP(E542,Calculations!$G$2:$H$6,2)</f>
        <v>4401</v>
      </c>
      <c r="B542" t="s">
        <v>5</v>
      </c>
      <c r="C542" t="s">
        <v>18</v>
      </c>
      <c r="D542" t="s">
        <v>54</v>
      </c>
      <c r="E542" t="s">
        <v>27</v>
      </c>
      <c r="F542">
        <v>1</v>
      </c>
      <c r="G542">
        <v>1</v>
      </c>
      <c r="H542">
        <f t="shared" si="32"/>
        <v>4401</v>
      </c>
      <c r="I542">
        <v>1</v>
      </c>
      <c r="J542">
        <f t="shared" si="33"/>
        <v>4401</v>
      </c>
      <c r="K542">
        <v>1</v>
      </c>
      <c r="L542">
        <f t="shared" si="34"/>
        <v>4401</v>
      </c>
      <c r="M542">
        <v>1</v>
      </c>
      <c r="N542">
        <f t="shared" si="35"/>
        <v>4401</v>
      </c>
    </row>
    <row r="543" spans="1:14" x14ac:dyDescent="0.25">
      <c r="A543">
        <f>VLOOKUP(B543,Calculations!$A$2:$B$10,2)+VLOOKUP(C543,Calculations!$C$2:$D$7,2)+VLOOKUP(D543,Calculations!$E$2:$F$6,2)+VLOOKUP(E543,Calculations!$G$2:$H$6,2)</f>
        <v>4402</v>
      </c>
      <c r="B543" t="s">
        <v>5</v>
      </c>
      <c r="C543" t="s">
        <v>18</v>
      </c>
      <c r="D543" t="s">
        <v>13</v>
      </c>
      <c r="E543" t="s">
        <v>27</v>
      </c>
      <c r="F543">
        <v>1</v>
      </c>
      <c r="G543">
        <v>1</v>
      </c>
      <c r="H543">
        <f t="shared" si="32"/>
        <v>4402</v>
      </c>
      <c r="I543">
        <v>1</v>
      </c>
      <c r="J543">
        <f t="shared" si="33"/>
        <v>4402</v>
      </c>
      <c r="K543">
        <v>1</v>
      </c>
      <c r="L543">
        <f t="shared" si="34"/>
        <v>4402</v>
      </c>
      <c r="M543">
        <v>1</v>
      </c>
      <c r="N543">
        <f t="shared" si="35"/>
        <v>4402</v>
      </c>
    </row>
    <row r="544" spans="1:14" x14ac:dyDescent="0.25">
      <c r="A544">
        <f>VLOOKUP(B544,Calculations!$A$2:$B$10,2)+VLOOKUP(C544,Calculations!$C$2:$D$7,2)+VLOOKUP(D544,Calculations!$E$2:$F$6,2)+VLOOKUP(E544,Calculations!$G$2:$H$6,2)</f>
        <v>4403</v>
      </c>
      <c r="B544" t="s">
        <v>5</v>
      </c>
      <c r="C544" t="s">
        <v>18</v>
      </c>
      <c r="D544" t="s">
        <v>14</v>
      </c>
      <c r="E544" t="s">
        <v>27</v>
      </c>
      <c r="F544">
        <v>1</v>
      </c>
      <c r="G544">
        <v>1</v>
      </c>
      <c r="H544">
        <f t="shared" si="32"/>
        <v>4403</v>
      </c>
      <c r="I544">
        <v>1</v>
      </c>
      <c r="J544">
        <f t="shared" si="33"/>
        <v>4403</v>
      </c>
      <c r="K544">
        <v>1</v>
      </c>
      <c r="L544">
        <f t="shared" si="34"/>
        <v>4403</v>
      </c>
      <c r="M544">
        <v>1</v>
      </c>
      <c r="N544">
        <f t="shared" si="35"/>
        <v>4403</v>
      </c>
    </row>
    <row r="545" spans="1:14" x14ac:dyDescent="0.25">
      <c r="A545">
        <f>VLOOKUP(B545,Calculations!$A$2:$B$10,2)+VLOOKUP(C545,Calculations!$C$2:$D$7,2)+VLOOKUP(D545,Calculations!$E$2:$F$6,2)+VLOOKUP(E545,Calculations!$G$2:$H$6,2)</f>
        <v>4404</v>
      </c>
      <c r="B545" t="s">
        <v>5</v>
      </c>
      <c r="C545" t="s">
        <v>18</v>
      </c>
      <c r="D545" t="s">
        <v>15</v>
      </c>
      <c r="E545" t="s">
        <v>27</v>
      </c>
      <c r="F545">
        <v>0</v>
      </c>
      <c r="G545">
        <v>0</v>
      </c>
      <c r="H545">
        <f t="shared" si="32"/>
        <v>0</v>
      </c>
      <c r="I545">
        <v>0</v>
      </c>
      <c r="J545">
        <f t="shared" si="33"/>
        <v>0</v>
      </c>
      <c r="K545">
        <v>0</v>
      </c>
      <c r="L545">
        <f t="shared" si="34"/>
        <v>0</v>
      </c>
      <c r="M545">
        <v>0</v>
      </c>
      <c r="N545">
        <f t="shared" si="35"/>
        <v>0</v>
      </c>
    </row>
    <row r="546" spans="1:14" x14ac:dyDescent="0.25">
      <c r="A546">
        <f>VLOOKUP(B546,Calculations!$A$2:$B$10,2)+VLOOKUP(C546,Calculations!$C$2:$D$7,2)+VLOOKUP(D546,Calculations!$E$2:$F$6,2)+VLOOKUP(E546,Calculations!$G$2:$H$6,2)</f>
        <v>4411</v>
      </c>
      <c r="B546" t="s">
        <v>6</v>
      </c>
      <c r="C546" t="s">
        <v>18</v>
      </c>
      <c r="D546" t="s">
        <v>54</v>
      </c>
      <c r="E546" t="s">
        <v>27</v>
      </c>
      <c r="F546">
        <v>1</v>
      </c>
      <c r="G546">
        <v>1</v>
      </c>
      <c r="H546">
        <f t="shared" si="32"/>
        <v>4411</v>
      </c>
      <c r="I546">
        <v>1</v>
      </c>
      <c r="J546">
        <f t="shared" si="33"/>
        <v>4411</v>
      </c>
      <c r="K546">
        <v>1</v>
      </c>
      <c r="L546">
        <f t="shared" si="34"/>
        <v>4411</v>
      </c>
      <c r="M546">
        <v>1</v>
      </c>
      <c r="N546">
        <f t="shared" si="35"/>
        <v>4411</v>
      </c>
    </row>
    <row r="547" spans="1:14" x14ac:dyDescent="0.25">
      <c r="A547">
        <f>VLOOKUP(B547,Calculations!$A$2:$B$10,2)+VLOOKUP(C547,Calculations!$C$2:$D$7,2)+VLOOKUP(D547,Calculations!$E$2:$F$6,2)+VLOOKUP(E547,Calculations!$G$2:$H$6,2)</f>
        <v>4412</v>
      </c>
      <c r="B547" t="s">
        <v>6</v>
      </c>
      <c r="C547" t="s">
        <v>18</v>
      </c>
      <c r="D547" t="s">
        <v>13</v>
      </c>
      <c r="E547" t="s">
        <v>27</v>
      </c>
      <c r="F547">
        <v>1</v>
      </c>
      <c r="G547">
        <v>1</v>
      </c>
      <c r="H547">
        <f t="shared" si="32"/>
        <v>4412</v>
      </c>
      <c r="I547">
        <v>1</v>
      </c>
      <c r="J547">
        <f t="shared" si="33"/>
        <v>4412</v>
      </c>
      <c r="K547">
        <v>1</v>
      </c>
      <c r="L547">
        <f t="shared" si="34"/>
        <v>4412</v>
      </c>
      <c r="M547">
        <v>1</v>
      </c>
      <c r="N547">
        <f t="shared" si="35"/>
        <v>4412</v>
      </c>
    </row>
    <row r="548" spans="1:14" x14ac:dyDescent="0.25">
      <c r="A548">
        <f>VLOOKUP(B548,Calculations!$A$2:$B$10,2)+VLOOKUP(C548,Calculations!$C$2:$D$7,2)+VLOOKUP(D548,Calculations!$E$2:$F$6,2)+VLOOKUP(E548,Calculations!$G$2:$H$6,2)</f>
        <v>4413</v>
      </c>
      <c r="B548" t="s">
        <v>6</v>
      </c>
      <c r="C548" t="s">
        <v>18</v>
      </c>
      <c r="D548" t="s">
        <v>14</v>
      </c>
      <c r="E548" t="s">
        <v>27</v>
      </c>
      <c r="F548">
        <v>1</v>
      </c>
      <c r="G548">
        <v>1</v>
      </c>
      <c r="H548">
        <f t="shared" si="32"/>
        <v>4413</v>
      </c>
      <c r="I548">
        <v>1</v>
      </c>
      <c r="J548">
        <f t="shared" si="33"/>
        <v>4413</v>
      </c>
      <c r="K548">
        <v>1</v>
      </c>
      <c r="L548">
        <f t="shared" si="34"/>
        <v>4413</v>
      </c>
      <c r="M548">
        <v>1</v>
      </c>
      <c r="N548">
        <f t="shared" si="35"/>
        <v>4413</v>
      </c>
    </row>
    <row r="549" spans="1:14" x14ac:dyDescent="0.25">
      <c r="A549">
        <f>VLOOKUP(B549,Calculations!$A$2:$B$10,2)+VLOOKUP(C549,Calculations!$C$2:$D$7,2)+VLOOKUP(D549,Calculations!$E$2:$F$6,2)+VLOOKUP(E549,Calculations!$G$2:$H$6,2)</f>
        <v>4414</v>
      </c>
      <c r="B549" t="s">
        <v>6</v>
      </c>
      <c r="C549" t="s">
        <v>18</v>
      </c>
      <c r="D549" t="s">
        <v>15</v>
      </c>
      <c r="E549" t="s">
        <v>27</v>
      </c>
      <c r="F549">
        <v>0</v>
      </c>
      <c r="G549">
        <v>0</v>
      </c>
      <c r="H549">
        <f t="shared" si="32"/>
        <v>0</v>
      </c>
      <c r="I549">
        <v>0</v>
      </c>
      <c r="J549">
        <f t="shared" si="33"/>
        <v>0</v>
      </c>
      <c r="K549">
        <v>0</v>
      </c>
      <c r="L549">
        <f t="shared" si="34"/>
        <v>0</v>
      </c>
      <c r="M549">
        <v>0</v>
      </c>
      <c r="N549">
        <f t="shared" si="35"/>
        <v>0</v>
      </c>
    </row>
    <row r="550" spans="1:14" x14ac:dyDescent="0.25">
      <c r="A550">
        <f>VLOOKUP(B550,Calculations!$A$2:$B$10,2)+VLOOKUP(C550,Calculations!$C$2:$D$7,2)+VLOOKUP(D550,Calculations!$E$2:$F$6,2)+VLOOKUP(E550,Calculations!$G$2:$H$6,2)</f>
        <v>4421</v>
      </c>
      <c r="B550" t="s">
        <v>7</v>
      </c>
      <c r="C550" t="s">
        <v>18</v>
      </c>
      <c r="D550" t="s">
        <v>54</v>
      </c>
      <c r="E550" t="s">
        <v>27</v>
      </c>
      <c r="F550">
        <v>1</v>
      </c>
      <c r="G550">
        <v>1</v>
      </c>
      <c r="H550">
        <f t="shared" si="32"/>
        <v>4421</v>
      </c>
      <c r="I550">
        <v>1</v>
      </c>
      <c r="J550">
        <f t="shared" si="33"/>
        <v>4421</v>
      </c>
      <c r="K550">
        <v>1</v>
      </c>
      <c r="L550">
        <f t="shared" si="34"/>
        <v>4421</v>
      </c>
      <c r="M550">
        <v>1</v>
      </c>
      <c r="N550">
        <f t="shared" si="35"/>
        <v>4421</v>
      </c>
    </row>
    <row r="551" spans="1:14" x14ac:dyDescent="0.25">
      <c r="A551">
        <f>VLOOKUP(B551,Calculations!$A$2:$B$10,2)+VLOOKUP(C551,Calculations!$C$2:$D$7,2)+VLOOKUP(D551,Calculations!$E$2:$F$6,2)+VLOOKUP(E551,Calculations!$G$2:$H$6,2)</f>
        <v>4422</v>
      </c>
      <c r="B551" t="s">
        <v>7</v>
      </c>
      <c r="C551" t="s">
        <v>18</v>
      </c>
      <c r="D551" t="s">
        <v>13</v>
      </c>
      <c r="E551" t="s">
        <v>27</v>
      </c>
      <c r="F551">
        <v>1</v>
      </c>
      <c r="G551">
        <v>1</v>
      </c>
      <c r="H551">
        <f t="shared" si="32"/>
        <v>4422</v>
      </c>
      <c r="I551">
        <v>1</v>
      </c>
      <c r="J551">
        <f t="shared" si="33"/>
        <v>4422</v>
      </c>
      <c r="K551">
        <v>1</v>
      </c>
      <c r="L551">
        <f t="shared" si="34"/>
        <v>4422</v>
      </c>
      <c r="M551">
        <v>1</v>
      </c>
      <c r="N551">
        <f t="shared" si="35"/>
        <v>4422</v>
      </c>
    </row>
    <row r="552" spans="1:14" x14ac:dyDescent="0.25">
      <c r="A552">
        <f>VLOOKUP(B552,Calculations!$A$2:$B$10,2)+VLOOKUP(C552,Calculations!$C$2:$D$7,2)+VLOOKUP(D552,Calculations!$E$2:$F$6,2)+VLOOKUP(E552,Calculations!$G$2:$H$6,2)</f>
        <v>4423</v>
      </c>
      <c r="B552" t="s">
        <v>7</v>
      </c>
      <c r="C552" t="s">
        <v>18</v>
      </c>
      <c r="D552" t="s">
        <v>14</v>
      </c>
      <c r="E552" t="s">
        <v>27</v>
      </c>
      <c r="F552">
        <v>1</v>
      </c>
      <c r="G552">
        <v>1</v>
      </c>
      <c r="H552">
        <f t="shared" si="32"/>
        <v>4423</v>
      </c>
      <c r="I552">
        <v>1</v>
      </c>
      <c r="J552">
        <f t="shared" si="33"/>
        <v>4423</v>
      </c>
      <c r="K552">
        <v>1</v>
      </c>
      <c r="L552">
        <f t="shared" si="34"/>
        <v>4423</v>
      </c>
      <c r="M552">
        <v>1</v>
      </c>
      <c r="N552">
        <f t="shared" si="35"/>
        <v>4423</v>
      </c>
    </row>
    <row r="553" spans="1:14" x14ac:dyDescent="0.25">
      <c r="A553">
        <f>VLOOKUP(B553,Calculations!$A$2:$B$10,2)+VLOOKUP(C553,Calculations!$C$2:$D$7,2)+VLOOKUP(D553,Calculations!$E$2:$F$6,2)+VLOOKUP(E553,Calculations!$G$2:$H$6,2)</f>
        <v>4424</v>
      </c>
      <c r="B553" t="s">
        <v>7</v>
      </c>
      <c r="C553" t="s">
        <v>18</v>
      </c>
      <c r="D553" t="s">
        <v>15</v>
      </c>
      <c r="E553" t="s">
        <v>27</v>
      </c>
      <c r="F553">
        <v>1</v>
      </c>
      <c r="G553">
        <v>1</v>
      </c>
      <c r="H553">
        <f t="shared" si="32"/>
        <v>4424</v>
      </c>
      <c r="I553">
        <v>1</v>
      </c>
      <c r="J553">
        <f t="shared" si="33"/>
        <v>4424</v>
      </c>
      <c r="K553">
        <v>1</v>
      </c>
      <c r="L553">
        <f t="shared" si="34"/>
        <v>4424</v>
      </c>
      <c r="M553">
        <v>1</v>
      </c>
      <c r="N553">
        <f t="shared" si="35"/>
        <v>4424</v>
      </c>
    </row>
    <row r="554" spans="1:14" x14ac:dyDescent="0.25">
      <c r="A554">
        <f>VLOOKUP(B554,Calculations!$A$2:$B$10,2)+VLOOKUP(C554,Calculations!$C$2:$D$7,2)+VLOOKUP(D554,Calculations!$E$2:$F$6,2)+VLOOKUP(E554,Calculations!$G$2:$H$6,2)</f>
        <v>4431</v>
      </c>
      <c r="B554" t="s">
        <v>53</v>
      </c>
      <c r="C554" t="s">
        <v>18</v>
      </c>
      <c r="D554" t="s">
        <v>54</v>
      </c>
      <c r="E554" t="s">
        <v>27</v>
      </c>
      <c r="F554">
        <v>1</v>
      </c>
      <c r="G554">
        <v>1</v>
      </c>
      <c r="H554">
        <f t="shared" si="32"/>
        <v>4431</v>
      </c>
      <c r="I554">
        <v>1</v>
      </c>
      <c r="J554">
        <f t="shared" si="33"/>
        <v>4431</v>
      </c>
      <c r="K554">
        <v>1</v>
      </c>
      <c r="L554">
        <f t="shared" si="34"/>
        <v>4431</v>
      </c>
      <c r="M554">
        <v>1</v>
      </c>
      <c r="N554">
        <f t="shared" si="35"/>
        <v>4431</v>
      </c>
    </row>
    <row r="555" spans="1:14" x14ac:dyDescent="0.25">
      <c r="A555">
        <f>VLOOKUP(B555,Calculations!$A$2:$B$10,2)+VLOOKUP(C555,Calculations!$C$2:$D$7,2)+VLOOKUP(D555,Calculations!$E$2:$F$6,2)+VLOOKUP(E555,Calculations!$G$2:$H$6,2)</f>
        <v>4432</v>
      </c>
      <c r="B555" t="s">
        <v>53</v>
      </c>
      <c r="C555" t="s">
        <v>18</v>
      </c>
      <c r="D555" t="s">
        <v>13</v>
      </c>
      <c r="E555" t="s">
        <v>27</v>
      </c>
      <c r="F555">
        <v>1</v>
      </c>
      <c r="G555">
        <v>1</v>
      </c>
      <c r="H555">
        <f t="shared" si="32"/>
        <v>4432</v>
      </c>
      <c r="I555">
        <v>1</v>
      </c>
      <c r="J555">
        <f t="shared" si="33"/>
        <v>4432</v>
      </c>
      <c r="K555">
        <v>1</v>
      </c>
      <c r="L555">
        <f t="shared" si="34"/>
        <v>4432</v>
      </c>
      <c r="M555">
        <v>1</v>
      </c>
      <c r="N555">
        <f t="shared" si="35"/>
        <v>4432</v>
      </c>
    </row>
    <row r="556" spans="1:14" x14ac:dyDescent="0.25">
      <c r="A556">
        <f>VLOOKUP(B556,Calculations!$A$2:$B$10,2)+VLOOKUP(C556,Calculations!$C$2:$D$7,2)+VLOOKUP(D556,Calculations!$E$2:$F$6,2)+VLOOKUP(E556,Calculations!$G$2:$H$6,2)</f>
        <v>4433</v>
      </c>
      <c r="B556" t="s">
        <v>53</v>
      </c>
      <c r="C556" t="s">
        <v>18</v>
      </c>
      <c r="D556" t="s">
        <v>14</v>
      </c>
      <c r="E556" t="s">
        <v>27</v>
      </c>
      <c r="F556">
        <v>1</v>
      </c>
      <c r="G556">
        <v>1</v>
      </c>
      <c r="H556">
        <f t="shared" si="32"/>
        <v>4433</v>
      </c>
      <c r="I556">
        <v>1</v>
      </c>
      <c r="J556">
        <f t="shared" si="33"/>
        <v>4433</v>
      </c>
      <c r="K556">
        <v>1</v>
      </c>
      <c r="L556">
        <f t="shared" si="34"/>
        <v>4433</v>
      </c>
      <c r="M556">
        <v>1</v>
      </c>
      <c r="N556">
        <f t="shared" si="35"/>
        <v>4433</v>
      </c>
    </row>
    <row r="557" spans="1:14" x14ac:dyDescent="0.25">
      <c r="A557">
        <f>VLOOKUP(B557,Calculations!$A$2:$B$10,2)+VLOOKUP(C557,Calculations!$C$2:$D$7,2)+VLOOKUP(D557,Calculations!$E$2:$F$6,2)+VLOOKUP(E557,Calculations!$G$2:$H$6,2)</f>
        <v>4434</v>
      </c>
      <c r="B557" t="s">
        <v>53</v>
      </c>
      <c r="C557" t="s">
        <v>18</v>
      </c>
      <c r="D557" t="s">
        <v>15</v>
      </c>
      <c r="E557" t="s">
        <v>27</v>
      </c>
      <c r="F557">
        <v>1</v>
      </c>
      <c r="G557">
        <v>1</v>
      </c>
      <c r="H557">
        <f t="shared" si="32"/>
        <v>4434</v>
      </c>
      <c r="I557">
        <v>1</v>
      </c>
      <c r="J557">
        <f t="shared" si="33"/>
        <v>4434</v>
      </c>
      <c r="K557">
        <v>1</v>
      </c>
      <c r="L557">
        <f t="shared" si="34"/>
        <v>4434</v>
      </c>
      <c r="M557">
        <v>1</v>
      </c>
      <c r="N557">
        <f t="shared" si="35"/>
        <v>4434</v>
      </c>
    </row>
    <row r="558" spans="1:14" x14ac:dyDescent="0.25">
      <c r="A558">
        <f>VLOOKUP(B558,Calculations!$A$2:$B$10,2)+VLOOKUP(C558,Calculations!$C$2:$D$7,2)+VLOOKUP(D558,Calculations!$E$2:$F$6,2)+VLOOKUP(E558,Calculations!$G$2:$H$6,2)</f>
        <v>4441</v>
      </c>
      <c r="B558" t="s">
        <v>9</v>
      </c>
      <c r="C558" t="s">
        <v>18</v>
      </c>
      <c r="D558" t="s">
        <v>54</v>
      </c>
      <c r="E558" t="s">
        <v>27</v>
      </c>
      <c r="F558">
        <v>1</v>
      </c>
      <c r="G558">
        <v>1</v>
      </c>
      <c r="H558">
        <f t="shared" si="32"/>
        <v>4441</v>
      </c>
      <c r="I558">
        <v>1</v>
      </c>
      <c r="J558">
        <f t="shared" si="33"/>
        <v>4441</v>
      </c>
      <c r="K558">
        <v>1</v>
      </c>
      <c r="L558">
        <f t="shared" si="34"/>
        <v>4441</v>
      </c>
      <c r="M558">
        <v>1</v>
      </c>
      <c r="N558">
        <f t="shared" si="35"/>
        <v>4441</v>
      </c>
    </row>
    <row r="559" spans="1:14" x14ac:dyDescent="0.25">
      <c r="A559">
        <f>VLOOKUP(B559,Calculations!$A$2:$B$10,2)+VLOOKUP(C559,Calculations!$C$2:$D$7,2)+VLOOKUP(D559,Calculations!$E$2:$F$6,2)+VLOOKUP(E559,Calculations!$G$2:$H$6,2)</f>
        <v>4442</v>
      </c>
      <c r="B559" t="s">
        <v>9</v>
      </c>
      <c r="C559" t="s">
        <v>18</v>
      </c>
      <c r="D559" t="s">
        <v>13</v>
      </c>
      <c r="E559" t="s">
        <v>27</v>
      </c>
      <c r="F559">
        <v>0</v>
      </c>
      <c r="G559">
        <v>0</v>
      </c>
      <c r="H559">
        <f t="shared" si="32"/>
        <v>0</v>
      </c>
      <c r="I559">
        <v>0</v>
      </c>
      <c r="J559">
        <f t="shared" si="33"/>
        <v>0</v>
      </c>
      <c r="K559">
        <v>0</v>
      </c>
      <c r="L559">
        <f t="shared" si="34"/>
        <v>0</v>
      </c>
      <c r="M559">
        <v>0</v>
      </c>
      <c r="N559">
        <f t="shared" si="35"/>
        <v>0</v>
      </c>
    </row>
    <row r="560" spans="1:14" x14ac:dyDescent="0.25">
      <c r="A560">
        <f>VLOOKUP(B560,Calculations!$A$2:$B$10,2)+VLOOKUP(C560,Calculations!$C$2:$D$7,2)+VLOOKUP(D560,Calculations!$E$2:$F$6,2)+VLOOKUP(E560,Calculations!$G$2:$H$6,2)</f>
        <v>4443</v>
      </c>
      <c r="B560" t="s">
        <v>9</v>
      </c>
      <c r="C560" t="s">
        <v>18</v>
      </c>
      <c r="D560" t="s">
        <v>14</v>
      </c>
      <c r="E560" t="s">
        <v>27</v>
      </c>
      <c r="F560">
        <v>0</v>
      </c>
      <c r="G560">
        <v>0</v>
      </c>
      <c r="H560">
        <f t="shared" si="32"/>
        <v>0</v>
      </c>
      <c r="I560">
        <v>0</v>
      </c>
      <c r="J560">
        <f t="shared" si="33"/>
        <v>0</v>
      </c>
      <c r="K560">
        <v>0</v>
      </c>
      <c r="L560">
        <f t="shared" si="34"/>
        <v>0</v>
      </c>
      <c r="M560">
        <v>0</v>
      </c>
      <c r="N560">
        <f t="shared" si="35"/>
        <v>0</v>
      </c>
    </row>
    <row r="561" spans="1:14" x14ac:dyDescent="0.25">
      <c r="A561">
        <f>VLOOKUP(B561,Calculations!$A$2:$B$10,2)+VLOOKUP(C561,Calculations!$C$2:$D$7,2)+VLOOKUP(D561,Calculations!$E$2:$F$6,2)+VLOOKUP(E561,Calculations!$G$2:$H$6,2)</f>
        <v>4444</v>
      </c>
      <c r="B561" t="s">
        <v>9</v>
      </c>
      <c r="C561" t="s">
        <v>18</v>
      </c>
      <c r="D561" t="s">
        <v>15</v>
      </c>
      <c r="E561" t="s">
        <v>27</v>
      </c>
      <c r="F561">
        <v>0</v>
      </c>
      <c r="G561">
        <v>0</v>
      </c>
      <c r="H561">
        <f t="shared" si="32"/>
        <v>0</v>
      </c>
      <c r="I561">
        <v>0</v>
      </c>
      <c r="J561">
        <f t="shared" si="33"/>
        <v>0</v>
      </c>
      <c r="K561">
        <v>0</v>
      </c>
      <c r="L561">
        <f t="shared" si="34"/>
        <v>0</v>
      </c>
      <c r="M561">
        <v>0</v>
      </c>
      <c r="N561">
        <f t="shared" si="35"/>
        <v>0</v>
      </c>
    </row>
    <row r="562" spans="1:14" x14ac:dyDescent="0.25">
      <c r="A562">
        <f>VLOOKUP(B562,Calculations!$A$2:$B$10,2)+VLOOKUP(C562,Calculations!$C$2:$D$7,2)+VLOOKUP(D562,Calculations!$E$2:$F$6,2)+VLOOKUP(E562,Calculations!$G$2:$H$6,2)</f>
        <v>4451</v>
      </c>
      <c r="B562" t="s">
        <v>50</v>
      </c>
      <c r="C562" t="s">
        <v>18</v>
      </c>
      <c r="D562" t="s">
        <v>54</v>
      </c>
      <c r="E562" t="s">
        <v>27</v>
      </c>
      <c r="F562">
        <v>1</v>
      </c>
      <c r="G562">
        <v>1</v>
      </c>
      <c r="H562">
        <f t="shared" si="32"/>
        <v>4451</v>
      </c>
      <c r="I562">
        <v>1</v>
      </c>
      <c r="J562">
        <f t="shared" si="33"/>
        <v>4451</v>
      </c>
      <c r="K562">
        <v>1</v>
      </c>
      <c r="L562">
        <f t="shared" si="34"/>
        <v>4451</v>
      </c>
      <c r="M562">
        <v>1</v>
      </c>
      <c r="N562">
        <f t="shared" si="35"/>
        <v>4451</v>
      </c>
    </row>
    <row r="563" spans="1:14" x14ac:dyDescent="0.25">
      <c r="A563">
        <f>VLOOKUP(B563,Calculations!$A$2:$B$10,2)+VLOOKUP(C563,Calculations!$C$2:$D$7,2)+VLOOKUP(D563,Calculations!$E$2:$F$6,2)+VLOOKUP(E563,Calculations!$G$2:$H$6,2)</f>
        <v>4452</v>
      </c>
      <c r="B563" t="s">
        <v>50</v>
      </c>
      <c r="C563" t="s">
        <v>18</v>
      </c>
      <c r="D563" t="s">
        <v>13</v>
      </c>
      <c r="E563" t="s">
        <v>27</v>
      </c>
      <c r="F563">
        <v>1</v>
      </c>
      <c r="G563">
        <v>1</v>
      </c>
      <c r="H563">
        <f t="shared" si="32"/>
        <v>4452</v>
      </c>
      <c r="I563">
        <v>1</v>
      </c>
      <c r="J563">
        <f t="shared" si="33"/>
        <v>4452</v>
      </c>
      <c r="K563">
        <v>1</v>
      </c>
      <c r="L563">
        <f t="shared" si="34"/>
        <v>4452</v>
      </c>
      <c r="M563">
        <v>1</v>
      </c>
      <c r="N563">
        <f t="shared" si="35"/>
        <v>4452</v>
      </c>
    </row>
    <row r="564" spans="1:14" x14ac:dyDescent="0.25">
      <c r="A564">
        <f>VLOOKUP(B564,Calculations!$A$2:$B$10,2)+VLOOKUP(C564,Calculations!$C$2:$D$7,2)+VLOOKUP(D564,Calculations!$E$2:$F$6,2)+VLOOKUP(E564,Calculations!$G$2:$H$6,2)</f>
        <v>4453</v>
      </c>
      <c r="B564" t="s">
        <v>50</v>
      </c>
      <c r="C564" t="s">
        <v>18</v>
      </c>
      <c r="D564" t="s">
        <v>14</v>
      </c>
      <c r="E564" t="s">
        <v>27</v>
      </c>
      <c r="F564">
        <v>1</v>
      </c>
      <c r="G564">
        <v>1</v>
      </c>
      <c r="H564">
        <f t="shared" si="32"/>
        <v>4453</v>
      </c>
      <c r="I564">
        <v>1</v>
      </c>
      <c r="J564">
        <f t="shared" si="33"/>
        <v>4453</v>
      </c>
      <c r="K564">
        <v>1</v>
      </c>
      <c r="L564">
        <f t="shared" si="34"/>
        <v>4453</v>
      </c>
      <c r="M564">
        <v>1</v>
      </c>
      <c r="N564">
        <f t="shared" si="35"/>
        <v>4453</v>
      </c>
    </row>
    <row r="565" spans="1:14" x14ac:dyDescent="0.25">
      <c r="A565">
        <f>VLOOKUP(B565,Calculations!$A$2:$B$10,2)+VLOOKUP(C565,Calculations!$C$2:$D$7,2)+VLOOKUP(D565,Calculations!$E$2:$F$6,2)+VLOOKUP(E565,Calculations!$G$2:$H$6,2)</f>
        <v>4454</v>
      </c>
      <c r="B565" t="s">
        <v>50</v>
      </c>
      <c r="C565" t="s">
        <v>18</v>
      </c>
      <c r="D565" t="s">
        <v>15</v>
      </c>
      <c r="E565" t="s">
        <v>27</v>
      </c>
      <c r="F565">
        <v>1</v>
      </c>
      <c r="G565">
        <v>1</v>
      </c>
      <c r="H565">
        <f t="shared" si="32"/>
        <v>4454</v>
      </c>
      <c r="I565">
        <v>1</v>
      </c>
      <c r="J565">
        <f t="shared" si="33"/>
        <v>4454</v>
      </c>
      <c r="K565">
        <v>1</v>
      </c>
      <c r="L565">
        <f t="shared" si="34"/>
        <v>4454</v>
      </c>
      <c r="M565">
        <v>1</v>
      </c>
      <c r="N565">
        <f t="shared" si="35"/>
        <v>4454</v>
      </c>
    </row>
    <row r="566" spans="1:14" x14ac:dyDescent="0.25">
      <c r="A566">
        <f>VLOOKUP(B566,Calculations!$A$2:$B$10,2)+VLOOKUP(C566,Calculations!$C$2:$D$7,2)+VLOOKUP(D566,Calculations!$E$2:$F$6,2)+VLOOKUP(E566,Calculations!$G$2:$H$6,2)</f>
        <v>4461</v>
      </c>
      <c r="B566" t="s">
        <v>51</v>
      </c>
      <c r="C566" t="s">
        <v>18</v>
      </c>
      <c r="D566" t="s">
        <v>54</v>
      </c>
      <c r="E566" t="s">
        <v>27</v>
      </c>
      <c r="F566">
        <v>1</v>
      </c>
      <c r="G566">
        <v>0</v>
      </c>
      <c r="H566">
        <f t="shared" si="32"/>
        <v>0</v>
      </c>
      <c r="I566">
        <v>0</v>
      </c>
      <c r="J566">
        <f t="shared" si="33"/>
        <v>0</v>
      </c>
      <c r="K566">
        <v>1</v>
      </c>
      <c r="L566">
        <f t="shared" si="34"/>
        <v>4461</v>
      </c>
      <c r="M566">
        <v>1</v>
      </c>
      <c r="N566">
        <f t="shared" si="35"/>
        <v>4461</v>
      </c>
    </row>
    <row r="567" spans="1:14" x14ac:dyDescent="0.25">
      <c r="A567">
        <f>VLOOKUP(B567,Calculations!$A$2:$B$10,2)+VLOOKUP(C567,Calculations!$C$2:$D$7,2)+VLOOKUP(D567,Calculations!$E$2:$F$6,2)+VLOOKUP(E567,Calculations!$G$2:$H$6,2)</f>
        <v>4462</v>
      </c>
      <c r="B567" t="s">
        <v>51</v>
      </c>
      <c r="C567" t="s">
        <v>18</v>
      </c>
      <c r="D567" t="s">
        <v>13</v>
      </c>
      <c r="E567" t="s">
        <v>27</v>
      </c>
      <c r="F567">
        <v>1</v>
      </c>
      <c r="G567">
        <v>0</v>
      </c>
      <c r="H567">
        <f t="shared" si="32"/>
        <v>0</v>
      </c>
      <c r="I567">
        <v>0</v>
      </c>
      <c r="J567">
        <f t="shared" si="33"/>
        <v>0</v>
      </c>
      <c r="K567">
        <v>1</v>
      </c>
      <c r="L567">
        <f t="shared" si="34"/>
        <v>4462</v>
      </c>
      <c r="M567">
        <v>1</v>
      </c>
      <c r="N567">
        <f t="shared" si="35"/>
        <v>4462</v>
      </c>
    </row>
    <row r="568" spans="1:14" x14ac:dyDescent="0.25">
      <c r="A568">
        <f>VLOOKUP(B568,Calculations!$A$2:$B$10,2)+VLOOKUP(C568,Calculations!$C$2:$D$7,2)+VLOOKUP(D568,Calculations!$E$2:$F$6,2)+VLOOKUP(E568,Calculations!$G$2:$H$6,2)</f>
        <v>4463</v>
      </c>
      <c r="B568" t="s">
        <v>51</v>
      </c>
      <c r="C568" t="s">
        <v>18</v>
      </c>
      <c r="D568" t="s">
        <v>14</v>
      </c>
      <c r="E568" t="s">
        <v>27</v>
      </c>
      <c r="F568">
        <v>1</v>
      </c>
      <c r="G568">
        <v>0</v>
      </c>
      <c r="H568">
        <f t="shared" si="32"/>
        <v>0</v>
      </c>
      <c r="I568">
        <v>0</v>
      </c>
      <c r="J568">
        <f t="shared" si="33"/>
        <v>0</v>
      </c>
      <c r="K568">
        <v>1</v>
      </c>
      <c r="L568">
        <f t="shared" si="34"/>
        <v>4463</v>
      </c>
      <c r="M568">
        <v>1</v>
      </c>
      <c r="N568">
        <f t="shared" si="35"/>
        <v>4463</v>
      </c>
    </row>
    <row r="569" spans="1:14" x14ac:dyDescent="0.25">
      <c r="A569">
        <f>VLOOKUP(B569,Calculations!$A$2:$B$10,2)+VLOOKUP(C569,Calculations!$C$2:$D$7,2)+VLOOKUP(D569,Calculations!$E$2:$F$6,2)+VLOOKUP(E569,Calculations!$G$2:$H$6,2)</f>
        <v>4464</v>
      </c>
      <c r="B569" t="s">
        <v>51</v>
      </c>
      <c r="C569" t="s">
        <v>18</v>
      </c>
      <c r="D569" t="s">
        <v>15</v>
      </c>
      <c r="E569" t="s">
        <v>27</v>
      </c>
      <c r="F569">
        <v>1</v>
      </c>
      <c r="G569">
        <v>0</v>
      </c>
      <c r="H569">
        <f t="shared" si="32"/>
        <v>0</v>
      </c>
      <c r="I569">
        <v>0</v>
      </c>
      <c r="J569">
        <f t="shared" si="33"/>
        <v>0</v>
      </c>
      <c r="K569">
        <v>1</v>
      </c>
      <c r="L569">
        <f t="shared" si="34"/>
        <v>4464</v>
      </c>
      <c r="M569">
        <v>1</v>
      </c>
      <c r="N569">
        <f t="shared" si="35"/>
        <v>4464</v>
      </c>
    </row>
    <row r="570" spans="1:14" x14ac:dyDescent="0.25">
      <c r="A570">
        <f>VLOOKUP(B570,Calculations!$A$2:$B$10,2)+VLOOKUP(C570,Calculations!$C$2:$D$7,2)+VLOOKUP(D570,Calculations!$E$2:$F$6,2)+VLOOKUP(E570,Calculations!$G$2:$H$6,2)</f>
        <v>4471</v>
      </c>
      <c r="B570" t="s">
        <v>52</v>
      </c>
      <c r="C570" t="s">
        <v>18</v>
      </c>
      <c r="D570" t="s">
        <v>54</v>
      </c>
      <c r="E570" t="s">
        <v>27</v>
      </c>
      <c r="F570">
        <v>1</v>
      </c>
      <c r="G570">
        <v>1</v>
      </c>
      <c r="H570">
        <f t="shared" si="32"/>
        <v>4471</v>
      </c>
      <c r="I570">
        <v>0</v>
      </c>
      <c r="J570">
        <f t="shared" si="33"/>
        <v>0</v>
      </c>
      <c r="K570">
        <v>1</v>
      </c>
      <c r="L570">
        <f t="shared" si="34"/>
        <v>4471</v>
      </c>
      <c r="M570">
        <v>1</v>
      </c>
      <c r="N570">
        <f t="shared" si="35"/>
        <v>4471</v>
      </c>
    </row>
    <row r="571" spans="1:14" x14ac:dyDescent="0.25">
      <c r="A571">
        <f>VLOOKUP(B571,Calculations!$A$2:$B$10,2)+VLOOKUP(C571,Calculations!$C$2:$D$7,2)+VLOOKUP(D571,Calculations!$E$2:$F$6,2)+VLOOKUP(E571,Calculations!$G$2:$H$6,2)</f>
        <v>4472</v>
      </c>
      <c r="B571" t="s">
        <v>52</v>
      </c>
      <c r="C571" t="s">
        <v>18</v>
      </c>
      <c r="D571" t="s">
        <v>13</v>
      </c>
      <c r="E571" t="s">
        <v>27</v>
      </c>
      <c r="F571">
        <v>1</v>
      </c>
      <c r="G571">
        <v>1</v>
      </c>
      <c r="H571">
        <f t="shared" si="32"/>
        <v>4472</v>
      </c>
      <c r="I571">
        <v>0</v>
      </c>
      <c r="J571">
        <f t="shared" si="33"/>
        <v>0</v>
      </c>
      <c r="K571">
        <v>1</v>
      </c>
      <c r="L571">
        <f t="shared" si="34"/>
        <v>4472</v>
      </c>
      <c r="M571">
        <v>1</v>
      </c>
      <c r="N571">
        <f t="shared" si="35"/>
        <v>4472</v>
      </c>
    </row>
    <row r="572" spans="1:14" x14ac:dyDescent="0.25">
      <c r="A572">
        <f>VLOOKUP(B572,Calculations!$A$2:$B$10,2)+VLOOKUP(C572,Calculations!$C$2:$D$7,2)+VLOOKUP(D572,Calculations!$E$2:$F$6,2)+VLOOKUP(E572,Calculations!$G$2:$H$6,2)</f>
        <v>4473</v>
      </c>
      <c r="B572" t="s">
        <v>52</v>
      </c>
      <c r="C572" t="s">
        <v>18</v>
      </c>
      <c r="D572" t="s">
        <v>14</v>
      </c>
      <c r="E572" t="s">
        <v>27</v>
      </c>
      <c r="F572">
        <v>1</v>
      </c>
      <c r="G572">
        <v>1</v>
      </c>
      <c r="H572">
        <f t="shared" si="32"/>
        <v>4473</v>
      </c>
      <c r="I572">
        <v>0</v>
      </c>
      <c r="J572">
        <f t="shared" si="33"/>
        <v>0</v>
      </c>
      <c r="K572">
        <v>1</v>
      </c>
      <c r="L572">
        <f t="shared" si="34"/>
        <v>4473</v>
      </c>
      <c r="M572">
        <v>1</v>
      </c>
      <c r="N572">
        <f t="shared" si="35"/>
        <v>4473</v>
      </c>
    </row>
    <row r="573" spans="1:14" x14ac:dyDescent="0.25">
      <c r="A573">
        <f>VLOOKUP(B573,Calculations!$A$2:$B$10,2)+VLOOKUP(C573,Calculations!$C$2:$D$7,2)+VLOOKUP(D573,Calculations!$E$2:$F$6,2)+VLOOKUP(E573,Calculations!$G$2:$H$6,2)</f>
        <v>4474</v>
      </c>
      <c r="B573" t="s">
        <v>52</v>
      </c>
      <c r="C573" t="s">
        <v>18</v>
      </c>
      <c r="D573" t="s">
        <v>15</v>
      </c>
      <c r="E573" t="s">
        <v>27</v>
      </c>
      <c r="F573">
        <v>1</v>
      </c>
      <c r="G573">
        <v>1</v>
      </c>
      <c r="H573">
        <f t="shared" si="32"/>
        <v>4474</v>
      </c>
      <c r="I573">
        <v>0</v>
      </c>
      <c r="J573">
        <f t="shared" si="33"/>
        <v>0</v>
      </c>
      <c r="K573">
        <v>1</v>
      </c>
      <c r="L573">
        <f t="shared" si="34"/>
        <v>4474</v>
      </c>
      <c r="M573">
        <v>1</v>
      </c>
      <c r="N573">
        <f t="shared" si="35"/>
        <v>4474</v>
      </c>
    </row>
    <row r="574" spans="1:14" x14ac:dyDescent="0.25">
      <c r="A574">
        <f>VLOOKUP(B574,Calculations!$A$2:$B$10,2)+VLOOKUP(C574,Calculations!$C$2:$D$7,2)+VLOOKUP(D574,Calculations!$E$2:$F$6,2)+VLOOKUP(E574,Calculations!$G$2:$H$6,2)</f>
        <v>4481</v>
      </c>
      <c r="B574" t="s">
        <v>8</v>
      </c>
      <c r="C574" t="s">
        <v>18</v>
      </c>
      <c r="D574" t="s">
        <v>54</v>
      </c>
      <c r="E574" t="s">
        <v>27</v>
      </c>
      <c r="F574">
        <v>1</v>
      </c>
      <c r="G574">
        <v>1</v>
      </c>
      <c r="H574">
        <f t="shared" si="32"/>
        <v>4481</v>
      </c>
      <c r="I574">
        <v>0</v>
      </c>
      <c r="J574">
        <f t="shared" si="33"/>
        <v>0</v>
      </c>
      <c r="K574">
        <v>0</v>
      </c>
      <c r="L574">
        <f t="shared" si="34"/>
        <v>0</v>
      </c>
      <c r="M574">
        <v>1</v>
      </c>
      <c r="N574">
        <f t="shared" si="35"/>
        <v>4481</v>
      </c>
    </row>
    <row r="575" spans="1:14" x14ac:dyDescent="0.25">
      <c r="A575">
        <f>VLOOKUP(B575,Calculations!$A$2:$B$10,2)+VLOOKUP(C575,Calculations!$C$2:$D$7,2)+VLOOKUP(D575,Calculations!$E$2:$F$6,2)+VLOOKUP(E575,Calculations!$G$2:$H$6,2)</f>
        <v>4482</v>
      </c>
      <c r="B575" t="s">
        <v>8</v>
      </c>
      <c r="C575" t="s">
        <v>18</v>
      </c>
      <c r="D575" t="s">
        <v>13</v>
      </c>
      <c r="E575" t="s">
        <v>27</v>
      </c>
      <c r="F575">
        <v>1</v>
      </c>
      <c r="G575">
        <v>1</v>
      </c>
      <c r="H575">
        <f t="shared" si="32"/>
        <v>4482</v>
      </c>
      <c r="I575">
        <v>0</v>
      </c>
      <c r="J575">
        <f t="shared" si="33"/>
        <v>0</v>
      </c>
      <c r="K575">
        <v>0</v>
      </c>
      <c r="L575">
        <f t="shared" si="34"/>
        <v>0</v>
      </c>
      <c r="M575">
        <v>1</v>
      </c>
      <c r="N575">
        <f t="shared" si="35"/>
        <v>4482</v>
      </c>
    </row>
    <row r="576" spans="1:14" x14ac:dyDescent="0.25">
      <c r="A576">
        <f>VLOOKUP(B576,Calculations!$A$2:$B$10,2)+VLOOKUP(C576,Calculations!$C$2:$D$7,2)+VLOOKUP(D576,Calculations!$E$2:$F$6,2)+VLOOKUP(E576,Calculations!$G$2:$H$6,2)</f>
        <v>4483</v>
      </c>
      <c r="B576" t="s">
        <v>8</v>
      </c>
      <c r="C576" t="s">
        <v>18</v>
      </c>
      <c r="D576" t="s">
        <v>14</v>
      </c>
      <c r="E576" t="s">
        <v>27</v>
      </c>
      <c r="F576">
        <v>1</v>
      </c>
      <c r="G576">
        <v>1</v>
      </c>
      <c r="H576">
        <f t="shared" si="32"/>
        <v>4483</v>
      </c>
      <c r="I576">
        <v>0</v>
      </c>
      <c r="J576">
        <f t="shared" si="33"/>
        <v>0</v>
      </c>
      <c r="K576">
        <v>0</v>
      </c>
      <c r="L576">
        <f t="shared" si="34"/>
        <v>0</v>
      </c>
      <c r="M576">
        <v>1</v>
      </c>
      <c r="N576">
        <f t="shared" si="35"/>
        <v>4483</v>
      </c>
    </row>
    <row r="577" spans="1:14" x14ac:dyDescent="0.25">
      <c r="A577">
        <f>VLOOKUP(B577,Calculations!$A$2:$B$10,2)+VLOOKUP(C577,Calculations!$C$2:$D$7,2)+VLOOKUP(D577,Calculations!$E$2:$F$6,2)+VLOOKUP(E577,Calculations!$G$2:$H$6,2)</f>
        <v>4484</v>
      </c>
      <c r="B577" t="s">
        <v>8</v>
      </c>
      <c r="C577" t="s">
        <v>18</v>
      </c>
      <c r="D577" t="s">
        <v>15</v>
      </c>
      <c r="E577" t="s">
        <v>27</v>
      </c>
      <c r="F577">
        <v>1</v>
      </c>
      <c r="G577">
        <v>1</v>
      </c>
      <c r="H577">
        <f t="shared" si="32"/>
        <v>4484</v>
      </c>
      <c r="I577">
        <v>0</v>
      </c>
      <c r="J577">
        <f t="shared" si="33"/>
        <v>0</v>
      </c>
      <c r="K577">
        <v>0</v>
      </c>
      <c r="L577">
        <f t="shared" si="34"/>
        <v>0</v>
      </c>
      <c r="M577">
        <v>1</v>
      </c>
      <c r="N577">
        <f t="shared" si="35"/>
        <v>4484</v>
      </c>
    </row>
    <row r="578" spans="1:14" x14ac:dyDescent="0.25">
      <c r="A578">
        <f>VLOOKUP(B578,Calculations!$A$2:$B$10,2)+VLOOKUP(C578,Calculations!$C$2:$D$7,2)+VLOOKUP(D578,Calculations!$E$2:$F$6,2)+VLOOKUP(E578,Calculations!$G$2:$H$6,2)</f>
        <v>4501</v>
      </c>
      <c r="B578" t="s">
        <v>5</v>
      </c>
      <c r="C578" t="s">
        <v>18</v>
      </c>
      <c r="D578" t="s">
        <v>54</v>
      </c>
      <c r="E578" t="s">
        <v>28</v>
      </c>
      <c r="F578">
        <v>1</v>
      </c>
      <c r="G578">
        <v>1</v>
      </c>
      <c r="H578">
        <f t="shared" ref="H578:H641" si="36">A578*G578</f>
        <v>4501</v>
      </c>
      <c r="I578">
        <v>1</v>
      </c>
      <c r="J578">
        <f t="shared" ref="J578:J641" si="37">A578*I578</f>
        <v>4501</v>
      </c>
      <c r="K578">
        <v>1</v>
      </c>
      <c r="L578">
        <f t="shared" ref="L578:L641" si="38">K578*A578</f>
        <v>4501</v>
      </c>
      <c r="M578">
        <v>1</v>
      </c>
      <c r="N578">
        <f t="shared" ref="N578:N641" si="39">A578*M578</f>
        <v>4501</v>
      </c>
    </row>
    <row r="579" spans="1:14" x14ac:dyDescent="0.25">
      <c r="A579">
        <f>VLOOKUP(B579,Calculations!$A$2:$B$10,2)+VLOOKUP(C579,Calculations!$C$2:$D$7,2)+VLOOKUP(D579,Calculations!$E$2:$F$6,2)+VLOOKUP(E579,Calculations!$G$2:$H$6,2)</f>
        <v>4502</v>
      </c>
      <c r="B579" t="s">
        <v>5</v>
      </c>
      <c r="C579" t="s">
        <v>18</v>
      </c>
      <c r="D579" t="s">
        <v>13</v>
      </c>
      <c r="E579" t="s">
        <v>28</v>
      </c>
      <c r="F579">
        <v>1</v>
      </c>
      <c r="G579">
        <v>1</v>
      </c>
      <c r="H579">
        <f t="shared" si="36"/>
        <v>4502</v>
      </c>
      <c r="I579">
        <v>1</v>
      </c>
      <c r="J579">
        <f t="shared" si="37"/>
        <v>4502</v>
      </c>
      <c r="K579">
        <v>1</v>
      </c>
      <c r="L579">
        <f t="shared" si="38"/>
        <v>4502</v>
      </c>
      <c r="M579">
        <v>1</v>
      </c>
      <c r="N579">
        <f t="shared" si="39"/>
        <v>4502</v>
      </c>
    </row>
    <row r="580" spans="1:14" x14ac:dyDescent="0.25">
      <c r="A580">
        <f>VLOOKUP(B580,Calculations!$A$2:$B$10,2)+VLOOKUP(C580,Calculations!$C$2:$D$7,2)+VLOOKUP(D580,Calculations!$E$2:$F$6,2)+VLOOKUP(E580,Calculations!$G$2:$H$6,2)</f>
        <v>4503</v>
      </c>
      <c r="B580" t="s">
        <v>5</v>
      </c>
      <c r="C580" t="s">
        <v>18</v>
      </c>
      <c r="D580" t="s">
        <v>14</v>
      </c>
      <c r="E580" t="s">
        <v>28</v>
      </c>
      <c r="F580">
        <v>1</v>
      </c>
      <c r="G580">
        <v>1</v>
      </c>
      <c r="H580">
        <f t="shared" si="36"/>
        <v>4503</v>
      </c>
      <c r="I580">
        <v>1</v>
      </c>
      <c r="J580">
        <f t="shared" si="37"/>
        <v>4503</v>
      </c>
      <c r="K580">
        <v>1</v>
      </c>
      <c r="L580">
        <f t="shared" si="38"/>
        <v>4503</v>
      </c>
      <c r="M580">
        <v>1</v>
      </c>
      <c r="N580">
        <f t="shared" si="39"/>
        <v>4503</v>
      </c>
    </row>
    <row r="581" spans="1:14" x14ac:dyDescent="0.25">
      <c r="A581">
        <f>VLOOKUP(B581,Calculations!$A$2:$B$10,2)+VLOOKUP(C581,Calculations!$C$2:$D$7,2)+VLOOKUP(D581,Calculations!$E$2:$F$6,2)+VLOOKUP(E581,Calculations!$G$2:$H$6,2)</f>
        <v>4504</v>
      </c>
      <c r="B581" t="s">
        <v>5</v>
      </c>
      <c r="C581" t="s">
        <v>18</v>
      </c>
      <c r="D581" t="s">
        <v>15</v>
      </c>
      <c r="E581" t="s">
        <v>28</v>
      </c>
      <c r="F581">
        <v>0</v>
      </c>
      <c r="G581">
        <v>0</v>
      </c>
      <c r="H581">
        <f t="shared" si="36"/>
        <v>0</v>
      </c>
      <c r="I581">
        <v>0</v>
      </c>
      <c r="J581">
        <f t="shared" si="37"/>
        <v>0</v>
      </c>
      <c r="K581">
        <v>0</v>
      </c>
      <c r="L581">
        <f t="shared" si="38"/>
        <v>0</v>
      </c>
      <c r="M581">
        <v>0</v>
      </c>
      <c r="N581">
        <f t="shared" si="39"/>
        <v>0</v>
      </c>
    </row>
    <row r="582" spans="1:14" x14ac:dyDescent="0.25">
      <c r="A582">
        <f>VLOOKUP(B582,Calculations!$A$2:$B$10,2)+VLOOKUP(C582,Calculations!$C$2:$D$7,2)+VLOOKUP(D582,Calculations!$E$2:$F$6,2)+VLOOKUP(E582,Calculations!$G$2:$H$6,2)</f>
        <v>4511</v>
      </c>
      <c r="B582" t="s">
        <v>6</v>
      </c>
      <c r="C582" t="s">
        <v>18</v>
      </c>
      <c r="D582" t="s">
        <v>54</v>
      </c>
      <c r="E582" t="s">
        <v>28</v>
      </c>
      <c r="F582">
        <v>1</v>
      </c>
      <c r="G582">
        <v>1</v>
      </c>
      <c r="H582">
        <f t="shared" si="36"/>
        <v>4511</v>
      </c>
      <c r="I582">
        <v>1</v>
      </c>
      <c r="J582">
        <f t="shared" si="37"/>
        <v>4511</v>
      </c>
      <c r="K582">
        <v>1</v>
      </c>
      <c r="L582">
        <f t="shared" si="38"/>
        <v>4511</v>
      </c>
      <c r="M582">
        <v>1</v>
      </c>
      <c r="N582">
        <f t="shared" si="39"/>
        <v>4511</v>
      </c>
    </row>
    <row r="583" spans="1:14" x14ac:dyDescent="0.25">
      <c r="A583">
        <f>VLOOKUP(B583,Calculations!$A$2:$B$10,2)+VLOOKUP(C583,Calculations!$C$2:$D$7,2)+VLOOKUP(D583,Calculations!$E$2:$F$6,2)+VLOOKUP(E583,Calculations!$G$2:$H$6,2)</f>
        <v>4512</v>
      </c>
      <c r="B583" t="s">
        <v>6</v>
      </c>
      <c r="C583" t="s">
        <v>18</v>
      </c>
      <c r="D583" t="s">
        <v>13</v>
      </c>
      <c r="E583" t="s">
        <v>28</v>
      </c>
      <c r="F583">
        <v>1</v>
      </c>
      <c r="G583">
        <v>1</v>
      </c>
      <c r="H583">
        <f t="shared" si="36"/>
        <v>4512</v>
      </c>
      <c r="I583">
        <v>1</v>
      </c>
      <c r="J583">
        <f t="shared" si="37"/>
        <v>4512</v>
      </c>
      <c r="K583">
        <v>1</v>
      </c>
      <c r="L583">
        <f t="shared" si="38"/>
        <v>4512</v>
      </c>
      <c r="M583">
        <v>1</v>
      </c>
      <c r="N583">
        <f t="shared" si="39"/>
        <v>4512</v>
      </c>
    </row>
    <row r="584" spans="1:14" x14ac:dyDescent="0.25">
      <c r="A584">
        <f>VLOOKUP(B584,Calculations!$A$2:$B$10,2)+VLOOKUP(C584,Calculations!$C$2:$D$7,2)+VLOOKUP(D584,Calculations!$E$2:$F$6,2)+VLOOKUP(E584,Calculations!$G$2:$H$6,2)</f>
        <v>4513</v>
      </c>
      <c r="B584" t="s">
        <v>6</v>
      </c>
      <c r="C584" t="s">
        <v>18</v>
      </c>
      <c r="D584" t="s">
        <v>14</v>
      </c>
      <c r="E584" t="s">
        <v>28</v>
      </c>
      <c r="F584">
        <v>1</v>
      </c>
      <c r="G584">
        <v>1</v>
      </c>
      <c r="H584">
        <f t="shared" si="36"/>
        <v>4513</v>
      </c>
      <c r="I584">
        <v>1</v>
      </c>
      <c r="J584">
        <f t="shared" si="37"/>
        <v>4513</v>
      </c>
      <c r="K584">
        <v>1</v>
      </c>
      <c r="L584">
        <f t="shared" si="38"/>
        <v>4513</v>
      </c>
      <c r="M584">
        <v>1</v>
      </c>
      <c r="N584">
        <f t="shared" si="39"/>
        <v>4513</v>
      </c>
    </row>
    <row r="585" spans="1:14" x14ac:dyDescent="0.25">
      <c r="A585">
        <f>VLOOKUP(B585,Calculations!$A$2:$B$10,2)+VLOOKUP(C585,Calculations!$C$2:$D$7,2)+VLOOKUP(D585,Calculations!$E$2:$F$6,2)+VLOOKUP(E585,Calculations!$G$2:$H$6,2)</f>
        <v>4514</v>
      </c>
      <c r="B585" t="s">
        <v>6</v>
      </c>
      <c r="C585" t="s">
        <v>18</v>
      </c>
      <c r="D585" t="s">
        <v>15</v>
      </c>
      <c r="E585" t="s">
        <v>28</v>
      </c>
      <c r="F585">
        <v>0</v>
      </c>
      <c r="G585">
        <v>0</v>
      </c>
      <c r="H585">
        <f t="shared" si="36"/>
        <v>0</v>
      </c>
      <c r="I585">
        <v>0</v>
      </c>
      <c r="J585">
        <f t="shared" si="37"/>
        <v>0</v>
      </c>
      <c r="K585">
        <v>0</v>
      </c>
      <c r="L585">
        <f t="shared" si="38"/>
        <v>0</v>
      </c>
      <c r="M585">
        <v>0</v>
      </c>
      <c r="N585">
        <f t="shared" si="39"/>
        <v>0</v>
      </c>
    </row>
    <row r="586" spans="1:14" x14ac:dyDescent="0.25">
      <c r="A586">
        <f>VLOOKUP(B586,Calculations!$A$2:$B$10,2)+VLOOKUP(C586,Calculations!$C$2:$D$7,2)+VLOOKUP(D586,Calculations!$E$2:$F$6,2)+VLOOKUP(E586,Calculations!$G$2:$H$6,2)</f>
        <v>4521</v>
      </c>
      <c r="B586" t="s">
        <v>7</v>
      </c>
      <c r="C586" t="s">
        <v>18</v>
      </c>
      <c r="D586" t="s">
        <v>54</v>
      </c>
      <c r="E586" t="s">
        <v>28</v>
      </c>
      <c r="F586">
        <v>1</v>
      </c>
      <c r="G586">
        <v>1</v>
      </c>
      <c r="H586">
        <f t="shared" si="36"/>
        <v>4521</v>
      </c>
      <c r="I586">
        <v>1</v>
      </c>
      <c r="J586">
        <f t="shared" si="37"/>
        <v>4521</v>
      </c>
      <c r="K586">
        <v>1</v>
      </c>
      <c r="L586">
        <f t="shared" si="38"/>
        <v>4521</v>
      </c>
      <c r="M586">
        <v>1</v>
      </c>
      <c r="N586">
        <f t="shared" si="39"/>
        <v>4521</v>
      </c>
    </row>
    <row r="587" spans="1:14" x14ac:dyDescent="0.25">
      <c r="A587">
        <f>VLOOKUP(B587,Calculations!$A$2:$B$10,2)+VLOOKUP(C587,Calculations!$C$2:$D$7,2)+VLOOKUP(D587,Calculations!$E$2:$F$6,2)+VLOOKUP(E587,Calculations!$G$2:$H$6,2)</f>
        <v>4522</v>
      </c>
      <c r="B587" t="s">
        <v>7</v>
      </c>
      <c r="C587" t="s">
        <v>18</v>
      </c>
      <c r="D587" t="s">
        <v>13</v>
      </c>
      <c r="E587" t="s">
        <v>28</v>
      </c>
      <c r="F587">
        <v>1</v>
      </c>
      <c r="G587">
        <v>1</v>
      </c>
      <c r="H587">
        <f t="shared" si="36"/>
        <v>4522</v>
      </c>
      <c r="I587">
        <v>1</v>
      </c>
      <c r="J587">
        <f t="shared" si="37"/>
        <v>4522</v>
      </c>
      <c r="K587">
        <v>1</v>
      </c>
      <c r="L587">
        <f t="shared" si="38"/>
        <v>4522</v>
      </c>
      <c r="M587">
        <v>1</v>
      </c>
      <c r="N587">
        <f t="shared" si="39"/>
        <v>4522</v>
      </c>
    </row>
    <row r="588" spans="1:14" x14ac:dyDescent="0.25">
      <c r="A588">
        <f>VLOOKUP(B588,Calculations!$A$2:$B$10,2)+VLOOKUP(C588,Calculations!$C$2:$D$7,2)+VLOOKUP(D588,Calculations!$E$2:$F$6,2)+VLOOKUP(E588,Calculations!$G$2:$H$6,2)</f>
        <v>4523</v>
      </c>
      <c r="B588" t="s">
        <v>7</v>
      </c>
      <c r="C588" t="s">
        <v>18</v>
      </c>
      <c r="D588" t="s">
        <v>14</v>
      </c>
      <c r="E588" t="s">
        <v>28</v>
      </c>
      <c r="F588">
        <v>1</v>
      </c>
      <c r="G588">
        <v>1</v>
      </c>
      <c r="H588">
        <f t="shared" si="36"/>
        <v>4523</v>
      </c>
      <c r="I588">
        <v>1</v>
      </c>
      <c r="J588">
        <f t="shared" si="37"/>
        <v>4523</v>
      </c>
      <c r="K588">
        <v>1</v>
      </c>
      <c r="L588">
        <f t="shared" si="38"/>
        <v>4523</v>
      </c>
      <c r="M588">
        <v>1</v>
      </c>
      <c r="N588">
        <f t="shared" si="39"/>
        <v>4523</v>
      </c>
    </row>
    <row r="589" spans="1:14" x14ac:dyDescent="0.25">
      <c r="A589">
        <f>VLOOKUP(B589,Calculations!$A$2:$B$10,2)+VLOOKUP(C589,Calculations!$C$2:$D$7,2)+VLOOKUP(D589,Calculations!$E$2:$F$6,2)+VLOOKUP(E589,Calculations!$G$2:$H$6,2)</f>
        <v>4524</v>
      </c>
      <c r="B589" t="s">
        <v>7</v>
      </c>
      <c r="C589" t="s">
        <v>18</v>
      </c>
      <c r="D589" t="s">
        <v>15</v>
      </c>
      <c r="E589" t="s">
        <v>28</v>
      </c>
      <c r="F589">
        <v>1</v>
      </c>
      <c r="G589">
        <v>1</v>
      </c>
      <c r="H589">
        <f t="shared" si="36"/>
        <v>4524</v>
      </c>
      <c r="I589">
        <v>1</v>
      </c>
      <c r="J589">
        <f t="shared" si="37"/>
        <v>4524</v>
      </c>
      <c r="K589">
        <v>1</v>
      </c>
      <c r="L589">
        <f t="shared" si="38"/>
        <v>4524</v>
      </c>
      <c r="M589">
        <v>1</v>
      </c>
      <c r="N589">
        <f t="shared" si="39"/>
        <v>4524</v>
      </c>
    </row>
    <row r="590" spans="1:14" x14ac:dyDescent="0.25">
      <c r="A590">
        <f>VLOOKUP(B590,Calculations!$A$2:$B$10,2)+VLOOKUP(C590,Calculations!$C$2:$D$7,2)+VLOOKUP(D590,Calculations!$E$2:$F$6,2)+VLOOKUP(E590,Calculations!$G$2:$H$6,2)</f>
        <v>4531</v>
      </c>
      <c r="B590" t="s">
        <v>53</v>
      </c>
      <c r="C590" t="s">
        <v>18</v>
      </c>
      <c r="D590" t="s">
        <v>54</v>
      </c>
      <c r="E590" t="s">
        <v>28</v>
      </c>
      <c r="F590">
        <v>1</v>
      </c>
      <c r="G590">
        <v>1</v>
      </c>
      <c r="H590">
        <f t="shared" si="36"/>
        <v>4531</v>
      </c>
      <c r="I590">
        <v>1</v>
      </c>
      <c r="J590">
        <f t="shared" si="37"/>
        <v>4531</v>
      </c>
      <c r="K590">
        <v>1</v>
      </c>
      <c r="L590">
        <f t="shared" si="38"/>
        <v>4531</v>
      </c>
      <c r="M590">
        <v>1</v>
      </c>
      <c r="N590">
        <f t="shared" si="39"/>
        <v>4531</v>
      </c>
    </row>
    <row r="591" spans="1:14" x14ac:dyDescent="0.25">
      <c r="A591">
        <f>VLOOKUP(B591,Calculations!$A$2:$B$10,2)+VLOOKUP(C591,Calculations!$C$2:$D$7,2)+VLOOKUP(D591,Calculations!$E$2:$F$6,2)+VLOOKUP(E591,Calculations!$G$2:$H$6,2)</f>
        <v>4532</v>
      </c>
      <c r="B591" t="s">
        <v>53</v>
      </c>
      <c r="C591" t="s">
        <v>18</v>
      </c>
      <c r="D591" t="s">
        <v>13</v>
      </c>
      <c r="E591" t="s">
        <v>28</v>
      </c>
      <c r="F591">
        <v>1</v>
      </c>
      <c r="G591">
        <v>1</v>
      </c>
      <c r="H591">
        <f t="shared" si="36"/>
        <v>4532</v>
      </c>
      <c r="I591">
        <v>1</v>
      </c>
      <c r="J591">
        <f t="shared" si="37"/>
        <v>4532</v>
      </c>
      <c r="K591">
        <v>1</v>
      </c>
      <c r="L591">
        <f t="shared" si="38"/>
        <v>4532</v>
      </c>
      <c r="M591">
        <v>1</v>
      </c>
      <c r="N591">
        <f t="shared" si="39"/>
        <v>4532</v>
      </c>
    </row>
    <row r="592" spans="1:14" x14ac:dyDescent="0.25">
      <c r="A592">
        <f>VLOOKUP(B592,Calculations!$A$2:$B$10,2)+VLOOKUP(C592,Calculations!$C$2:$D$7,2)+VLOOKUP(D592,Calculations!$E$2:$F$6,2)+VLOOKUP(E592,Calculations!$G$2:$H$6,2)</f>
        <v>4533</v>
      </c>
      <c r="B592" t="s">
        <v>53</v>
      </c>
      <c r="C592" t="s">
        <v>18</v>
      </c>
      <c r="D592" t="s">
        <v>14</v>
      </c>
      <c r="E592" t="s">
        <v>28</v>
      </c>
      <c r="F592">
        <v>1</v>
      </c>
      <c r="G592">
        <v>1</v>
      </c>
      <c r="H592">
        <f t="shared" si="36"/>
        <v>4533</v>
      </c>
      <c r="I592">
        <v>1</v>
      </c>
      <c r="J592">
        <f t="shared" si="37"/>
        <v>4533</v>
      </c>
      <c r="K592">
        <v>1</v>
      </c>
      <c r="L592">
        <f t="shared" si="38"/>
        <v>4533</v>
      </c>
      <c r="M592">
        <v>1</v>
      </c>
      <c r="N592">
        <f t="shared" si="39"/>
        <v>4533</v>
      </c>
    </row>
    <row r="593" spans="1:14" x14ac:dyDescent="0.25">
      <c r="A593">
        <f>VLOOKUP(B593,Calculations!$A$2:$B$10,2)+VLOOKUP(C593,Calculations!$C$2:$D$7,2)+VLOOKUP(D593,Calculations!$E$2:$F$6,2)+VLOOKUP(E593,Calculations!$G$2:$H$6,2)</f>
        <v>4534</v>
      </c>
      <c r="B593" t="s">
        <v>53</v>
      </c>
      <c r="C593" t="s">
        <v>18</v>
      </c>
      <c r="D593" t="s">
        <v>15</v>
      </c>
      <c r="E593" t="s">
        <v>28</v>
      </c>
      <c r="F593">
        <v>1</v>
      </c>
      <c r="G593">
        <v>1</v>
      </c>
      <c r="H593">
        <f t="shared" si="36"/>
        <v>4534</v>
      </c>
      <c r="I593">
        <v>1</v>
      </c>
      <c r="J593">
        <f t="shared" si="37"/>
        <v>4534</v>
      </c>
      <c r="K593">
        <v>1</v>
      </c>
      <c r="L593">
        <f t="shared" si="38"/>
        <v>4534</v>
      </c>
      <c r="M593">
        <v>1</v>
      </c>
      <c r="N593">
        <f t="shared" si="39"/>
        <v>4534</v>
      </c>
    </row>
    <row r="594" spans="1:14" x14ac:dyDescent="0.25">
      <c r="A594">
        <f>VLOOKUP(B594,Calculations!$A$2:$B$10,2)+VLOOKUP(C594,Calculations!$C$2:$D$7,2)+VLOOKUP(D594,Calculations!$E$2:$F$6,2)+VLOOKUP(E594,Calculations!$G$2:$H$6,2)</f>
        <v>4541</v>
      </c>
      <c r="B594" t="s">
        <v>9</v>
      </c>
      <c r="C594" t="s">
        <v>18</v>
      </c>
      <c r="D594" t="s">
        <v>54</v>
      </c>
      <c r="E594" t="s">
        <v>28</v>
      </c>
      <c r="F594">
        <v>1</v>
      </c>
      <c r="G594">
        <v>1</v>
      </c>
      <c r="H594">
        <f t="shared" si="36"/>
        <v>4541</v>
      </c>
      <c r="I594">
        <v>1</v>
      </c>
      <c r="J594">
        <f t="shared" si="37"/>
        <v>4541</v>
      </c>
      <c r="K594">
        <v>1</v>
      </c>
      <c r="L594">
        <f t="shared" si="38"/>
        <v>4541</v>
      </c>
      <c r="M594">
        <v>1</v>
      </c>
      <c r="N594">
        <f t="shared" si="39"/>
        <v>4541</v>
      </c>
    </row>
    <row r="595" spans="1:14" x14ac:dyDescent="0.25">
      <c r="A595">
        <f>VLOOKUP(B595,Calculations!$A$2:$B$10,2)+VLOOKUP(C595,Calculations!$C$2:$D$7,2)+VLOOKUP(D595,Calculations!$E$2:$F$6,2)+VLOOKUP(E595,Calculations!$G$2:$H$6,2)</f>
        <v>4542</v>
      </c>
      <c r="B595" t="s">
        <v>9</v>
      </c>
      <c r="C595" t="s">
        <v>18</v>
      </c>
      <c r="D595" t="s">
        <v>13</v>
      </c>
      <c r="E595" t="s">
        <v>28</v>
      </c>
      <c r="F595">
        <v>0</v>
      </c>
      <c r="G595">
        <v>0</v>
      </c>
      <c r="H595">
        <f t="shared" si="36"/>
        <v>0</v>
      </c>
      <c r="I595">
        <v>0</v>
      </c>
      <c r="J595">
        <f t="shared" si="37"/>
        <v>0</v>
      </c>
      <c r="K595">
        <v>0</v>
      </c>
      <c r="L595">
        <f t="shared" si="38"/>
        <v>0</v>
      </c>
      <c r="M595">
        <v>0</v>
      </c>
      <c r="N595">
        <f t="shared" si="39"/>
        <v>0</v>
      </c>
    </row>
    <row r="596" spans="1:14" x14ac:dyDescent="0.25">
      <c r="A596">
        <f>VLOOKUP(B596,Calculations!$A$2:$B$10,2)+VLOOKUP(C596,Calculations!$C$2:$D$7,2)+VLOOKUP(D596,Calculations!$E$2:$F$6,2)+VLOOKUP(E596,Calculations!$G$2:$H$6,2)</f>
        <v>4543</v>
      </c>
      <c r="B596" t="s">
        <v>9</v>
      </c>
      <c r="C596" t="s">
        <v>18</v>
      </c>
      <c r="D596" t="s">
        <v>14</v>
      </c>
      <c r="E596" t="s">
        <v>28</v>
      </c>
      <c r="F596">
        <v>0</v>
      </c>
      <c r="G596">
        <v>0</v>
      </c>
      <c r="H596">
        <f t="shared" si="36"/>
        <v>0</v>
      </c>
      <c r="I596">
        <v>0</v>
      </c>
      <c r="J596">
        <f t="shared" si="37"/>
        <v>0</v>
      </c>
      <c r="K596">
        <v>0</v>
      </c>
      <c r="L596">
        <f t="shared" si="38"/>
        <v>0</v>
      </c>
      <c r="M596">
        <v>0</v>
      </c>
      <c r="N596">
        <f t="shared" si="39"/>
        <v>0</v>
      </c>
    </row>
    <row r="597" spans="1:14" x14ac:dyDescent="0.25">
      <c r="A597">
        <f>VLOOKUP(B597,Calculations!$A$2:$B$10,2)+VLOOKUP(C597,Calculations!$C$2:$D$7,2)+VLOOKUP(D597,Calculations!$E$2:$F$6,2)+VLOOKUP(E597,Calculations!$G$2:$H$6,2)</f>
        <v>4544</v>
      </c>
      <c r="B597" t="s">
        <v>9</v>
      </c>
      <c r="C597" t="s">
        <v>18</v>
      </c>
      <c r="D597" t="s">
        <v>15</v>
      </c>
      <c r="E597" t="s">
        <v>28</v>
      </c>
      <c r="F597">
        <v>0</v>
      </c>
      <c r="G597">
        <v>0</v>
      </c>
      <c r="H597">
        <f t="shared" si="36"/>
        <v>0</v>
      </c>
      <c r="I597">
        <v>0</v>
      </c>
      <c r="J597">
        <f t="shared" si="37"/>
        <v>0</v>
      </c>
      <c r="K597">
        <v>0</v>
      </c>
      <c r="L597">
        <f t="shared" si="38"/>
        <v>0</v>
      </c>
      <c r="M597">
        <v>0</v>
      </c>
      <c r="N597">
        <f t="shared" si="39"/>
        <v>0</v>
      </c>
    </row>
    <row r="598" spans="1:14" x14ac:dyDescent="0.25">
      <c r="A598">
        <f>VLOOKUP(B598,Calculations!$A$2:$B$10,2)+VLOOKUP(C598,Calculations!$C$2:$D$7,2)+VLOOKUP(D598,Calculations!$E$2:$F$6,2)+VLOOKUP(E598,Calculations!$G$2:$H$6,2)</f>
        <v>4551</v>
      </c>
      <c r="B598" t="s">
        <v>50</v>
      </c>
      <c r="C598" t="s">
        <v>18</v>
      </c>
      <c r="D598" t="s">
        <v>54</v>
      </c>
      <c r="E598" t="s">
        <v>28</v>
      </c>
      <c r="F598">
        <v>1</v>
      </c>
      <c r="G598">
        <v>1</v>
      </c>
      <c r="H598">
        <f t="shared" si="36"/>
        <v>4551</v>
      </c>
      <c r="I598">
        <v>1</v>
      </c>
      <c r="J598">
        <f t="shared" si="37"/>
        <v>4551</v>
      </c>
      <c r="K598">
        <v>1</v>
      </c>
      <c r="L598">
        <f t="shared" si="38"/>
        <v>4551</v>
      </c>
      <c r="M598">
        <v>1</v>
      </c>
      <c r="N598">
        <f t="shared" si="39"/>
        <v>4551</v>
      </c>
    </row>
    <row r="599" spans="1:14" x14ac:dyDescent="0.25">
      <c r="A599">
        <f>VLOOKUP(B599,Calculations!$A$2:$B$10,2)+VLOOKUP(C599,Calculations!$C$2:$D$7,2)+VLOOKUP(D599,Calculations!$E$2:$F$6,2)+VLOOKUP(E599,Calculations!$G$2:$H$6,2)</f>
        <v>4552</v>
      </c>
      <c r="B599" t="s">
        <v>50</v>
      </c>
      <c r="C599" t="s">
        <v>18</v>
      </c>
      <c r="D599" t="s">
        <v>13</v>
      </c>
      <c r="E599" t="s">
        <v>28</v>
      </c>
      <c r="F599">
        <v>1</v>
      </c>
      <c r="G599">
        <v>1</v>
      </c>
      <c r="H599">
        <f t="shared" si="36"/>
        <v>4552</v>
      </c>
      <c r="I599">
        <v>1</v>
      </c>
      <c r="J599">
        <f t="shared" si="37"/>
        <v>4552</v>
      </c>
      <c r="K599">
        <v>1</v>
      </c>
      <c r="L599">
        <f t="shared" si="38"/>
        <v>4552</v>
      </c>
      <c r="M599">
        <v>1</v>
      </c>
      <c r="N599">
        <f t="shared" si="39"/>
        <v>4552</v>
      </c>
    </row>
    <row r="600" spans="1:14" x14ac:dyDescent="0.25">
      <c r="A600">
        <f>VLOOKUP(B600,Calculations!$A$2:$B$10,2)+VLOOKUP(C600,Calculations!$C$2:$D$7,2)+VLOOKUP(D600,Calculations!$E$2:$F$6,2)+VLOOKUP(E600,Calculations!$G$2:$H$6,2)</f>
        <v>4553</v>
      </c>
      <c r="B600" t="s">
        <v>50</v>
      </c>
      <c r="C600" t="s">
        <v>18</v>
      </c>
      <c r="D600" t="s">
        <v>14</v>
      </c>
      <c r="E600" t="s">
        <v>28</v>
      </c>
      <c r="F600">
        <v>1</v>
      </c>
      <c r="G600">
        <v>1</v>
      </c>
      <c r="H600">
        <f t="shared" si="36"/>
        <v>4553</v>
      </c>
      <c r="I600">
        <v>1</v>
      </c>
      <c r="J600">
        <f t="shared" si="37"/>
        <v>4553</v>
      </c>
      <c r="K600">
        <v>1</v>
      </c>
      <c r="L600">
        <f t="shared" si="38"/>
        <v>4553</v>
      </c>
      <c r="M600">
        <v>1</v>
      </c>
      <c r="N600">
        <f t="shared" si="39"/>
        <v>4553</v>
      </c>
    </row>
    <row r="601" spans="1:14" x14ac:dyDescent="0.25">
      <c r="A601">
        <f>VLOOKUP(B601,Calculations!$A$2:$B$10,2)+VLOOKUP(C601,Calculations!$C$2:$D$7,2)+VLOOKUP(D601,Calculations!$E$2:$F$6,2)+VLOOKUP(E601,Calculations!$G$2:$H$6,2)</f>
        <v>4554</v>
      </c>
      <c r="B601" t="s">
        <v>50</v>
      </c>
      <c r="C601" t="s">
        <v>18</v>
      </c>
      <c r="D601" t="s">
        <v>15</v>
      </c>
      <c r="E601" t="s">
        <v>28</v>
      </c>
      <c r="F601">
        <v>1</v>
      </c>
      <c r="G601">
        <v>1</v>
      </c>
      <c r="H601">
        <f t="shared" si="36"/>
        <v>4554</v>
      </c>
      <c r="I601">
        <v>1</v>
      </c>
      <c r="J601">
        <f t="shared" si="37"/>
        <v>4554</v>
      </c>
      <c r="K601">
        <v>1</v>
      </c>
      <c r="L601">
        <f t="shared" si="38"/>
        <v>4554</v>
      </c>
      <c r="M601">
        <v>1</v>
      </c>
      <c r="N601">
        <f t="shared" si="39"/>
        <v>4554</v>
      </c>
    </row>
    <row r="602" spans="1:14" x14ac:dyDescent="0.25">
      <c r="A602">
        <f>VLOOKUP(B602,Calculations!$A$2:$B$10,2)+VLOOKUP(C602,Calculations!$C$2:$D$7,2)+VLOOKUP(D602,Calculations!$E$2:$F$6,2)+VLOOKUP(E602,Calculations!$G$2:$H$6,2)</f>
        <v>4561</v>
      </c>
      <c r="B602" t="s">
        <v>51</v>
      </c>
      <c r="C602" t="s">
        <v>18</v>
      </c>
      <c r="D602" t="s">
        <v>54</v>
      </c>
      <c r="E602" t="s">
        <v>28</v>
      </c>
      <c r="F602">
        <v>1</v>
      </c>
      <c r="G602">
        <v>0</v>
      </c>
      <c r="H602">
        <f t="shared" si="36"/>
        <v>0</v>
      </c>
      <c r="I602">
        <v>0</v>
      </c>
      <c r="J602">
        <f t="shared" si="37"/>
        <v>0</v>
      </c>
      <c r="K602">
        <v>1</v>
      </c>
      <c r="L602">
        <f t="shared" si="38"/>
        <v>4561</v>
      </c>
      <c r="M602">
        <v>1</v>
      </c>
      <c r="N602">
        <f t="shared" si="39"/>
        <v>4561</v>
      </c>
    </row>
    <row r="603" spans="1:14" x14ac:dyDescent="0.25">
      <c r="A603">
        <f>VLOOKUP(B603,Calculations!$A$2:$B$10,2)+VLOOKUP(C603,Calculations!$C$2:$D$7,2)+VLOOKUP(D603,Calculations!$E$2:$F$6,2)+VLOOKUP(E603,Calculations!$G$2:$H$6,2)</f>
        <v>4562</v>
      </c>
      <c r="B603" t="s">
        <v>51</v>
      </c>
      <c r="C603" t="s">
        <v>18</v>
      </c>
      <c r="D603" t="s">
        <v>13</v>
      </c>
      <c r="E603" t="s">
        <v>28</v>
      </c>
      <c r="F603">
        <v>1</v>
      </c>
      <c r="G603">
        <v>0</v>
      </c>
      <c r="H603">
        <f t="shared" si="36"/>
        <v>0</v>
      </c>
      <c r="I603">
        <v>0</v>
      </c>
      <c r="J603">
        <f t="shared" si="37"/>
        <v>0</v>
      </c>
      <c r="K603">
        <v>1</v>
      </c>
      <c r="L603">
        <f t="shared" si="38"/>
        <v>4562</v>
      </c>
      <c r="M603">
        <v>1</v>
      </c>
      <c r="N603">
        <f t="shared" si="39"/>
        <v>4562</v>
      </c>
    </row>
    <row r="604" spans="1:14" x14ac:dyDescent="0.25">
      <c r="A604">
        <f>VLOOKUP(B604,Calculations!$A$2:$B$10,2)+VLOOKUP(C604,Calculations!$C$2:$D$7,2)+VLOOKUP(D604,Calculations!$E$2:$F$6,2)+VLOOKUP(E604,Calculations!$G$2:$H$6,2)</f>
        <v>4563</v>
      </c>
      <c r="B604" t="s">
        <v>51</v>
      </c>
      <c r="C604" t="s">
        <v>18</v>
      </c>
      <c r="D604" t="s">
        <v>14</v>
      </c>
      <c r="E604" t="s">
        <v>28</v>
      </c>
      <c r="F604">
        <v>1</v>
      </c>
      <c r="G604">
        <v>0</v>
      </c>
      <c r="H604">
        <f t="shared" si="36"/>
        <v>0</v>
      </c>
      <c r="I604">
        <v>0</v>
      </c>
      <c r="J604">
        <f t="shared" si="37"/>
        <v>0</v>
      </c>
      <c r="K604">
        <v>1</v>
      </c>
      <c r="L604">
        <f t="shared" si="38"/>
        <v>4563</v>
      </c>
      <c r="M604">
        <v>1</v>
      </c>
      <c r="N604">
        <f t="shared" si="39"/>
        <v>4563</v>
      </c>
    </row>
    <row r="605" spans="1:14" x14ac:dyDescent="0.25">
      <c r="A605">
        <f>VLOOKUP(B605,Calculations!$A$2:$B$10,2)+VLOOKUP(C605,Calculations!$C$2:$D$7,2)+VLOOKUP(D605,Calculations!$E$2:$F$6,2)+VLOOKUP(E605,Calculations!$G$2:$H$6,2)</f>
        <v>4564</v>
      </c>
      <c r="B605" t="s">
        <v>51</v>
      </c>
      <c r="C605" t="s">
        <v>18</v>
      </c>
      <c r="D605" t="s">
        <v>15</v>
      </c>
      <c r="E605" t="s">
        <v>28</v>
      </c>
      <c r="F605">
        <v>1</v>
      </c>
      <c r="G605">
        <v>0</v>
      </c>
      <c r="H605">
        <f t="shared" si="36"/>
        <v>0</v>
      </c>
      <c r="I605">
        <v>0</v>
      </c>
      <c r="J605">
        <f t="shared" si="37"/>
        <v>0</v>
      </c>
      <c r="K605">
        <v>1</v>
      </c>
      <c r="L605">
        <f t="shared" si="38"/>
        <v>4564</v>
      </c>
      <c r="M605">
        <v>1</v>
      </c>
      <c r="N605">
        <f t="shared" si="39"/>
        <v>4564</v>
      </c>
    </row>
    <row r="606" spans="1:14" x14ac:dyDescent="0.25">
      <c r="A606">
        <f>VLOOKUP(B606,Calculations!$A$2:$B$10,2)+VLOOKUP(C606,Calculations!$C$2:$D$7,2)+VLOOKUP(D606,Calculations!$E$2:$F$6,2)+VLOOKUP(E606,Calculations!$G$2:$H$6,2)</f>
        <v>4571</v>
      </c>
      <c r="B606" t="s">
        <v>52</v>
      </c>
      <c r="C606" t="s">
        <v>18</v>
      </c>
      <c r="D606" t="s">
        <v>54</v>
      </c>
      <c r="E606" t="s">
        <v>28</v>
      </c>
      <c r="F606">
        <v>1</v>
      </c>
      <c r="G606">
        <v>1</v>
      </c>
      <c r="H606">
        <f t="shared" si="36"/>
        <v>4571</v>
      </c>
      <c r="I606">
        <v>0</v>
      </c>
      <c r="J606">
        <f t="shared" si="37"/>
        <v>0</v>
      </c>
      <c r="K606">
        <v>1</v>
      </c>
      <c r="L606">
        <f t="shared" si="38"/>
        <v>4571</v>
      </c>
      <c r="M606">
        <v>1</v>
      </c>
      <c r="N606">
        <f t="shared" si="39"/>
        <v>4571</v>
      </c>
    </row>
    <row r="607" spans="1:14" x14ac:dyDescent="0.25">
      <c r="A607">
        <f>VLOOKUP(B607,Calculations!$A$2:$B$10,2)+VLOOKUP(C607,Calculations!$C$2:$D$7,2)+VLOOKUP(D607,Calculations!$E$2:$F$6,2)+VLOOKUP(E607,Calculations!$G$2:$H$6,2)</f>
        <v>4572</v>
      </c>
      <c r="B607" t="s">
        <v>52</v>
      </c>
      <c r="C607" t="s">
        <v>18</v>
      </c>
      <c r="D607" t="s">
        <v>13</v>
      </c>
      <c r="E607" t="s">
        <v>28</v>
      </c>
      <c r="F607">
        <v>1</v>
      </c>
      <c r="G607">
        <v>1</v>
      </c>
      <c r="H607">
        <f t="shared" si="36"/>
        <v>4572</v>
      </c>
      <c r="I607">
        <v>0</v>
      </c>
      <c r="J607">
        <f t="shared" si="37"/>
        <v>0</v>
      </c>
      <c r="K607">
        <v>1</v>
      </c>
      <c r="L607">
        <f t="shared" si="38"/>
        <v>4572</v>
      </c>
      <c r="M607">
        <v>1</v>
      </c>
      <c r="N607">
        <f t="shared" si="39"/>
        <v>4572</v>
      </c>
    </row>
    <row r="608" spans="1:14" x14ac:dyDescent="0.25">
      <c r="A608">
        <f>VLOOKUP(B608,Calculations!$A$2:$B$10,2)+VLOOKUP(C608,Calculations!$C$2:$D$7,2)+VLOOKUP(D608,Calculations!$E$2:$F$6,2)+VLOOKUP(E608,Calculations!$G$2:$H$6,2)</f>
        <v>4573</v>
      </c>
      <c r="B608" t="s">
        <v>52</v>
      </c>
      <c r="C608" t="s">
        <v>18</v>
      </c>
      <c r="D608" t="s">
        <v>14</v>
      </c>
      <c r="E608" t="s">
        <v>28</v>
      </c>
      <c r="F608">
        <v>1</v>
      </c>
      <c r="G608">
        <v>1</v>
      </c>
      <c r="H608">
        <f t="shared" si="36"/>
        <v>4573</v>
      </c>
      <c r="I608">
        <v>0</v>
      </c>
      <c r="J608">
        <f t="shared" si="37"/>
        <v>0</v>
      </c>
      <c r="K608">
        <v>1</v>
      </c>
      <c r="L608">
        <f t="shared" si="38"/>
        <v>4573</v>
      </c>
      <c r="M608">
        <v>1</v>
      </c>
      <c r="N608">
        <f t="shared" si="39"/>
        <v>4573</v>
      </c>
    </row>
    <row r="609" spans="1:14" x14ac:dyDescent="0.25">
      <c r="A609">
        <f>VLOOKUP(B609,Calculations!$A$2:$B$10,2)+VLOOKUP(C609,Calculations!$C$2:$D$7,2)+VLOOKUP(D609,Calculations!$E$2:$F$6,2)+VLOOKUP(E609,Calculations!$G$2:$H$6,2)</f>
        <v>4574</v>
      </c>
      <c r="B609" t="s">
        <v>52</v>
      </c>
      <c r="C609" t="s">
        <v>18</v>
      </c>
      <c r="D609" t="s">
        <v>15</v>
      </c>
      <c r="E609" t="s">
        <v>28</v>
      </c>
      <c r="F609">
        <v>1</v>
      </c>
      <c r="G609">
        <v>1</v>
      </c>
      <c r="H609">
        <f t="shared" si="36"/>
        <v>4574</v>
      </c>
      <c r="I609">
        <v>0</v>
      </c>
      <c r="J609">
        <f t="shared" si="37"/>
        <v>0</v>
      </c>
      <c r="K609">
        <v>1</v>
      </c>
      <c r="L609">
        <f t="shared" si="38"/>
        <v>4574</v>
      </c>
      <c r="M609">
        <v>1</v>
      </c>
      <c r="N609">
        <f t="shared" si="39"/>
        <v>4574</v>
      </c>
    </row>
    <row r="610" spans="1:14" x14ac:dyDescent="0.25">
      <c r="A610">
        <f>VLOOKUP(B610,Calculations!$A$2:$B$10,2)+VLOOKUP(C610,Calculations!$C$2:$D$7,2)+VLOOKUP(D610,Calculations!$E$2:$F$6,2)+VLOOKUP(E610,Calculations!$G$2:$H$6,2)</f>
        <v>4581</v>
      </c>
      <c r="B610" t="s">
        <v>8</v>
      </c>
      <c r="C610" t="s">
        <v>18</v>
      </c>
      <c r="D610" t="s">
        <v>54</v>
      </c>
      <c r="E610" t="s">
        <v>28</v>
      </c>
      <c r="F610">
        <v>1</v>
      </c>
      <c r="G610">
        <v>1</v>
      </c>
      <c r="H610">
        <f t="shared" si="36"/>
        <v>4581</v>
      </c>
      <c r="I610">
        <v>0</v>
      </c>
      <c r="J610">
        <f t="shared" si="37"/>
        <v>0</v>
      </c>
      <c r="K610">
        <v>0</v>
      </c>
      <c r="L610">
        <f t="shared" si="38"/>
        <v>0</v>
      </c>
      <c r="M610">
        <v>1</v>
      </c>
      <c r="N610">
        <f t="shared" si="39"/>
        <v>4581</v>
      </c>
    </row>
    <row r="611" spans="1:14" x14ac:dyDescent="0.25">
      <c r="A611">
        <f>VLOOKUP(B611,Calculations!$A$2:$B$10,2)+VLOOKUP(C611,Calculations!$C$2:$D$7,2)+VLOOKUP(D611,Calculations!$E$2:$F$6,2)+VLOOKUP(E611,Calculations!$G$2:$H$6,2)</f>
        <v>4582</v>
      </c>
      <c r="B611" t="s">
        <v>8</v>
      </c>
      <c r="C611" t="s">
        <v>18</v>
      </c>
      <c r="D611" t="s">
        <v>13</v>
      </c>
      <c r="E611" t="s">
        <v>28</v>
      </c>
      <c r="F611">
        <v>1</v>
      </c>
      <c r="G611">
        <v>1</v>
      </c>
      <c r="H611">
        <f t="shared" si="36"/>
        <v>4582</v>
      </c>
      <c r="I611">
        <v>0</v>
      </c>
      <c r="J611">
        <f t="shared" si="37"/>
        <v>0</v>
      </c>
      <c r="K611">
        <v>0</v>
      </c>
      <c r="L611">
        <f t="shared" si="38"/>
        <v>0</v>
      </c>
      <c r="M611">
        <v>1</v>
      </c>
      <c r="N611">
        <f t="shared" si="39"/>
        <v>4582</v>
      </c>
    </row>
    <row r="612" spans="1:14" x14ac:dyDescent="0.25">
      <c r="A612">
        <f>VLOOKUP(B612,Calculations!$A$2:$B$10,2)+VLOOKUP(C612,Calculations!$C$2:$D$7,2)+VLOOKUP(D612,Calculations!$E$2:$F$6,2)+VLOOKUP(E612,Calculations!$G$2:$H$6,2)</f>
        <v>4583</v>
      </c>
      <c r="B612" t="s">
        <v>8</v>
      </c>
      <c r="C612" t="s">
        <v>18</v>
      </c>
      <c r="D612" t="s">
        <v>14</v>
      </c>
      <c r="E612" t="s">
        <v>28</v>
      </c>
      <c r="F612">
        <v>1</v>
      </c>
      <c r="G612">
        <v>1</v>
      </c>
      <c r="H612">
        <f t="shared" si="36"/>
        <v>4583</v>
      </c>
      <c r="I612">
        <v>0</v>
      </c>
      <c r="J612">
        <f t="shared" si="37"/>
        <v>0</v>
      </c>
      <c r="K612">
        <v>0</v>
      </c>
      <c r="L612">
        <f t="shared" si="38"/>
        <v>0</v>
      </c>
      <c r="M612">
        <v>1</v>
      </c>
      <c r="N612">
        <f t="shared" si="39"/>
        <v>4583</v>
      </c>
    </row>
    <row r="613" spans="1:14" x14ac:dyDescent="0.25">
      <c r="A613">
        <f>VLOOKUP(B613,Calculations!$A$2:$B$10,2)+VLOOKUP(C613,Calculations!$C$2:$D$7,2)+VLOOKUP(D613,Calculations!$E$2:$F$6,2)+VLOOKUP(E613,Calculations!$G$2:$H$6,2)</f>
        <v>4584</v>
      </c>
      <c r="B613" t="s">
        <v>8</v>
      </c>
      <c r="C613" t="s">
        <v>18</v>
      </c>
      <c r="D613" t="s">
        <v>15</v>
      </c>
      <c r="E613" t="s">
        <v>28</v>
      </c>
      <c r="F613">
        <v>1</v>
      </c>
      <c r="G613">
        <v>1</v>
      </c>
      <c r="H613">
        <f t="shared" si="36"/>
        <v>4584</v>
      </c>
      <c r="I613">
        <v>0</v>
      </c>
      <c r="J613">
        <f t="shared" si="37"/>
        <v>0</v>
      </c>
      <c r="K613">
        <v>0</v>
      </c>
      <c r="L613">
        <f t="shared" si="38"/>
        <v>0</v>
      </c>
      <c r="M613">
        <v>1</v>
      </c>
      <c r="N613">
        <f t="shared" si="39"/>
        <v>4584</v>
      </c>
    </row>
    <row r="614" spans="1:14" x14ac:dyDescent="0.25">
      <c r="A614">
        <f>VLOOKUP(B614,Calculations!$A$2:$B$10,2)+VLOOKUP(C614,Calculations!$C$2:$D$7,2)+VLOOKUP(D614,Calculations!$E$2:$F$6,2)+VLOOKUP(E614,Calculations!$G$2:$H$6,2)</f>
        <v>5200</v>
      </c>
      <c r="B614" t="s">
        <v>5</v>
      </c>
      <c r="C614" t="s">
        <v>19</v>
      </c>
      <c r="D614" t="s">
        <v>12</v>
      </c>
      <c r="E614" t="s">
        <v>30</v>
      </c>
      <c r="F614">
        <v>1</v>
      </c>
      <c r="G614">
        <v>1</v>
      </c>
      <c r="H614">
        <f t="shared" si="36"/>
        <v>5200</v>
      </c>
      <c r="I614">
        <v>1</v>
      </c>
      <c r="J614">
        <f t="shared" si="37"/>
        <v>5200</v>
      </c>
      <c r="K614">
        <v>0</v>
      </c>
      <c r="L614">
        <f t="shared" si="38"/>
        <v>0</v>
      </c>
      <c r="M614">
        <v>0</v>
      </c>
      <c r="N614">
        <f t="shared" si="39"/>
        <v>0</v>
      </c>
    </row>
    <row r="615" spans="1:14" x14ac:dyDescent="0.25">
      <c r="A615">
        <f>VLOOKUP(B615,Calculations!$A$2:$B$10,2)+VLOOKUP(C615,Calculations!$C$2:$D$7,2)+VLOOKUP(D615,Calculations!$E$2:$F$6,2)+VLOOKUP(E615,Calculations!$G$2:$H$6,2)</f>
        <v>5210</v>
      </c>
      <c r="B615" t="s">
        <v>6</v>
      </c>
      <c r="C615" t="s">
        <v>19</v>
      </c>
      <c r="D615" t="s">
        <v>12</v>
      </c>
      <c r="E615" t="s">
        <v>30</v>
      </c>
      <c r="F615">
        <v>1</v>
      </c>
      <c r="G615">
        <v>1</v>
      </c>
      <c r="H615">
        <f t="shared" si="36"/>
        <v>5210</v>
      </c>
      <c r="I615">
        <v>1</v>
      </c>
      <c r="J615">
        <f t="shared" si="37"/>
        <v>5210</v>
      </c>
      <c r="K615">
        <v>0</v>
      </c>
      <c r="L615">
        <f t="shared" si="38"/>
        <v>0</v>
      </c>
      <c r="M615">
        <v>0</v>
      </c>
      <c r="N615">
        <f t="shared" si="39"/>
        <v>0</v>
      </c>
    </row>
    <row r="616" spans="1:14" x14ac:dyDescent="0.25">
      <c r="A616">
        <f>VLOOKUP(B616,Calculations!$A$2:$B$10,2)+VLOOKUP(C616,Calculations!$C$2:$D$7,2)+VLOOKUP(D616,Calculations!$E$2:$F$6,2)+VLOOKUP(E616,Calculations!$G$2:$H$6,2)</f>
        <v>5220</v>
      </c>
      <c r="B616" t="s">
        <v>7</v>
      </c>
      <c r="C616" t="s">
        <v>19</v>
      </c>
      <c r="D616" t="s">
        <v>12</v>
      </c>
      <c r="E616" t="s">
        <v>30</v>
      </c>
      <c r="F616">
        <v>1</v>
      </c>
      <c r="G616">
        <v>1</v>
      </c>
      <c r="H616">
        <f t="shared" si="36"/>
        <v>5220</v>
      </c>
      <c r="I616">
        <v>1</v>
      </c>
      <c r="J616">
        <f t="shared" si="37"/>
        <v>5220</v>
      </c>
      <c r="K616">
        <v>0</v>
      </c>
      <c r="L616">
        <f t="shared" si="38"/>
        <v>0</v>
      </c>
      <c r="M616">
        <v>0</v>
      </c>
      <c r="N616">
        <f t="shared" si="39"/>
        <v>0</v>
      </c>
    </row>
    <row r="617" spans="1:14" x14ac:dyDescent="0.25">
      <c r="A617">
        <f>VLOOKUP(B617,Calculations!$A$2:$B$10,2)+VLOOKUP(C617,Calculations!$C$2:$D$7,2)+VLOOKUP(D617,Calculations!$E$2:$F$6,2)+VLOOKUP(E617,Calculations!$G$2:$H$6,2)</f>
        <v>5230</v>
      </c>
      <c r="B617" t="s">
        <v>53</v>
      </c>
      <c r="C617" t="s">
        <v>19</v>
      </c>
      <c r="D617" t="s">
        <v>12</v>
      </c>
      <c r="E617" t="s">
        <v>30</v>
      </c>
      <c r="F617">
        <v>1</v>
      </c>
      <c r="G617">
        <v>1</v>
      </c>
      <c r="H617">
        <f t="shared" si="36"/>
        <v>5230</v>
      </c>
      <c r="I617">
        <v>1</v>
      </c>
      <c r="J617">
        <f t="shared" si="37"/>
        <v>5230</v>
      </c>
      <c r="K617">
        <v>0</v>
      </c>
      <c r="L617">
        <f t="shared" si="38"/>
        <v>0</v>
      </c>
      <c r="M617">
        <v>0</v>
      </c>
      <c r="N617">
        <f t="shared" si="39"/>
        <v>0</v>
      </c>
    </row>
    <row r="618" spans="1:14" x14ac:dyDescent="0.25">
      <c r="A618">
        <f>VLOOKUP(B618,Calculations!$A$2:$B$10,2)+VLOOKUP(C618,Calculations!$C$2:$D$7,2)+VLOOKUP(D618,Calculations!$E$2:$F$6,2)+VLOOKUP(E618,Calculations!$G$2:$H$6,2)</f>
        <v>5240</v>
      </c>
      <c r="B618" t="s">
        <v>9</v>
      </c>
      <c r="C618" t="s">
        <v>19</v>
      </c>
      <c r="D618" t="s">
        <v>12</v>
      </c>
      <c r="E618" t="s">
        <v>30</v>
      </c>
      <c r="F618">
        <v>1</v>
      </c>
      <c r="G618">
        <v>1</v>
      </c>
      <c r="H618">
        <f t="shared" si="36"/>
        <v>5240</v>
      </c>
      <c r="I618">
        <v>1</v>
      </c>
      <c r="J618">
        <f t="shared" si="37"/>
        <v>5240</v>
      </c>
      <c r="K618">
        <v>0</v>
      </c>
      <c r="L618">
        <f t="shared" si="38"/>
        <v>0</v>
      </c>
      <c r="M618">
        <v>0</v>
      </c>
      <c r="N618">
        <f t="shared" si="39"/>
        <v>0</v>
      </c>
    </row>
    <row r="619" spans="1:14" x14ac:dyDescent="0.25">
      <c r="A619">
        <f>VLOOKUP(B619,Calculations!$A$2:$B$10,2)+VLOOKUP(C619,Calculations!$C$2:$D$7,2)+VLOOKUP(D619,Calculations!$E$2:$F$6,2)+VLOOKUP(E619,Calculations!$G$2:$H$6,2)</f>
        <v>5250</v>
      </c>
      <c r="B619" t="s">
        <v>50</v>
      </c>
      <c r="C619" t="s">
        <v>19</v>
      </c>
      <c r="D619" t="s">
        <v>12</v>
      </c>
      <c r="E619" t="s">
        <v>30</v>
      </c>
      <c r="F619">
        <v>1</v>
      </c>
      <c r="G619">
        <v>0</v>
      </c>
      <c r="H619">
        <f t="shared" si="36"/>
        <v>0</v>
      </c>
      <c r="I619">
        <v>1</v>
      </c>
      <c r="J619">
        <f t="shared" si="37"/>
        <v>5250</v>
      </c>
      <c r="K619">
        <v>0</v>
      </c>
      <c r="L619">
        <f t="shared" si="38"/>
        <v>0</v>
      </c>
      <c r="M619">
        <v>0</v>
      </c>
      <c r="N619">
        <f t="shared" si="39"/>
        <v>0</v>
      </c>
    </row>
    <row r="620" spans="1:14" x14ac:dyDescent="0.25">
      <c r="A620">
        <f>VLOOKUP(B620,Calculations!$A$2:$B$10,2)+VLOOKUP(C620,Calculations!$C$2:$D$7,2)+VLOOKUP(D620,Calculations!$E$2:$F$6,2)+VLOOKUP(E620,Calculations!$G$2:$H$6,2)</f>
        <v>5260</v>
      </c>
      <c r="B620" t="s">
        <v>51</v>
      </c>
      <c r="C620" t="s">
        <v>19</v>
      </c>
      <c r="D620" t="s">
        <v>12</v>
      </c>
      <c r="E620" t="s">
        <v>30</v>
      </c>
      <c r="F620">
        <v>1</v>
      </c>
      <c r="G620">
        <v>0</v>
      </c>
      <c r="H620">
        <f t="shared" si="36"/>
        <v>0</v>
      </c>
      <c r="I620">
        <v>1</v>
      </c>
      <c r="J620">
        <f t="shared" si="37"/>
        <v>5260</v>
      </c>
      <c r="K620">
        <v>0</v>
      </c>
      <c r="L620">
        <f t="shared" si="38"/>
        <v>0</v>
      </c>
      <c r="M620">
        <v>0</v>
      </c>
      <c r="N620">
        <f t="shared" si="39"/>
        <v>0</v>
      </c>
    </row>
    <row r="621" spans="1:14" x14ac:dyDescent="0.25">
      <c r="A621">
        <f>VLOOKUP(B621,Calculations!$A$2:$B$10,2)+VLOOKUP(C621,Calculations!$C$2:$D$7,2)+VLOOKUP(D621,Calculations!$E$2:$F$6,2)+VLOOKUP(E621,Calculations!$G$2:$H$6,2)</f>
        <v>5270</v>
      </c>
      <c r="B621" t="s">
        <v>52</v>
      </c>
      <c r="C621" t="s">
        <v>19</v>
      </c>
      <c r="D621" t="s">
        <v>12</v>
      </c>
      <c r="E621" t="s">
        <v>30</v>
      </c>
      <c r="F621">
        <v>0</v>
      </c>
      <c r="G621">
        <v>0</v>
      </c>
      <c r="H621">
        <f t="shared" si="36"/>
        <v>0</v>
      </c>
      <c r="I621">
        <v>0</v>
      </c>
      <c r="J621">
        <f t="shared" si="37"/>
        <v>0</v>
      </c>
      <c r="K621">
        <v>0</v>
      </c>
      <c r="L621">
        <f t="shared" si="38"/>
        <v>0</v>
      </c>
      <c r="M621">
        <v>0</v>
      </c>
      <c r="N621">
        <f t="shared" si="39"/>
        <v>0</v>
      </c>
    </row>
    <row r="622" spans="1:14" x14ac:dyDescent="0.25">
      <c r="A622">
        <f>VLOOKUP(B622,Calculations!$A$2:$B$10,2)+VLOOKUP(C622,Calculations!$C$2:$D$7,2)+VLOOKUP(D622,Calculations!$E$2:$F$6,2)+VLOOKUP(E622,Calculations!$G$2:$H$6,2)</f>
        <v>5280</v>
      </c>
      <c r="B622" t="s">
        <v>8</v>
      </c>
      <c r="C622" t="s">
        <v>19</v>
      </c>
      <c r="D622" t="s">
        <v>12</v>
      </c>
      <c r="E622" t="s">
        <v>30</v>
      </c>
      <c r="F622">
        <v>1</v>
      </c>
      <c r="G622">
        <v>1</v>
      </c>
      <c r="H622">
        <f t="shared" si="36"/>
        <v>5280</v>
      </c>
      <c r="I622">
        <v>0</v>
      </c>
      <c r="J622">
        <f t="shared" si="37"/>
        <v>0</v>
      </c>
      <c r="K622">
        <v>0</v>
      </c>
      <c r="L622">
        <f t="shared" si="38"/>
        <v>0</v>
      </c>
      <c r="M622">
        <v>0</v>
      </c>
      <c r="N622">
        <f t="shared" si="39"/>
        <v>0</v>
      </c>
    </row>
    <row r="623" spans="1:14" x14ac:dyDescent="0.25">
      <c r="A623">
        <f>VLOOKUP(B623,Calculations!$A$2:$B$10,2)+VLOOKUP(C623,Calculations!$C$2:$D$7,2)+VLOOKUP(D623,Calculations!$E$2:$F$6,2)+VLOOKUP(E623,Calculations!$G$2:$H$6,2)</f>
        <v>5201</v>
      </c>
      <c r="B623" t="s">
        <v>5</v>
      </c>
      <c r="C623" t="s">
        <v>19</v>
      </c>
      <c r="D623" t="s">
        <v>54</v>
      </c>
      <c r="E623" t="s">
        <v>25</v>
      </c>
      <c r="F623">
        <v>1</v>
      </c>
      <c r="G623">
        <v>1</v>
      </c>
      <c r="H623">
        <f t="shared" si="36"/>
        <v>5201</v>
      </c>
      <c r="I623">
        <v>1</v>
      </c>
      <c r="J623">
        <f t="shared" si="37"/>
        <v>5201</v>
      </c>
      <c r="K623">
        <v>0</v>
      </c>
      <c r="L623">
        <f t="shared" si="38"/>
        <v>0</v>
      </c>
      <c r="M623">
        <v>1</v>
      </c>
      <c r="N623">
        <f t="shared" si="39"/>
        <v>5201</v>
      </c>
    </row>
    <row r="624" spans="1:14" x14ac:dyDescent="0.25">
      <c r="A624">
        <f>VLOOKUP(B624,Calculations!$A$2:$B$10,2)+VLOOKUP(C624,Calculations!$C$2:$D$7,2)+VLOOKUP(D624,Calculations!$E$2:$F$6,2)+VLOOKUP(E624,Calculations!$G$2:$H$6,2)</f>
        <v>5202</v>
      </c>
      <c r="B624" t="s">
        <v>5</v>
      </c>
      <c r="C624" t="s">
        <v>19</v>
      </c>
      <c r="D624" t="s">
        <v>13</v>
      </c>
      <c r="E624" t="s">
        <v>25</v>
      </c>
      <c r="F624">
        <v>1</v>
      </c>
      <c r="G624">
        <v>1</v>
      </c>
      <c r="H624">
        <f t="shared" si="36"/>
        <v>5202</v>
      </c>
      <c r="I624">
        <v>1</v>
      </c>
      <c r="J624">
        <f t="shared" si="37"/>
        <v>5202</v>
      </c>
      <c r="K624">
        <v>0</v>
      </c>
      <c r="L624">
        <f t="shared" si="38"/>
        <v>0</v>
      </c>
      <c r="M624">
        <v>1</v>
      </c>
      <c r="N624">
        <f t="shared" si="39"/>
        <v>5202</v>
      </c>
    </row>
    <row r="625" spans="1:14" x14ac:dyDescent="0.25">
      <c r="A625">
        <f>VLOOKUP(B625,Calculations!$A$2:$B$10,2)+VLOOKUP(C625,Calculations!$C$2:$D$7,2)+VLOOKUP(D625,Calculations!$E$2:$F$6,2)+VLOOKUP(E625,Calculations!$G$2:$H$6,2)</f>
        <v>5203</v>
      </c>
      <c r="B625" t="s">
        <v>5</v>
      </c>
      <c r="C625" t="s">
        <v>19</v>
      </c>
      <c r="D625" t="s">
        <v>14</v>
      </c>
      <c r="E625" t="s">
        <v>25</v>
      </c>
      <c r="F625">
        <v>1</v>
      </c>
      <c r="G625">
        <v>1</v>
      </c>
      <c r="H625">
        <f t="shared" si="36"/>
        <v>5203</v>
      </c>
      <c r="I625">
        <v>1</v>
      </c>
      <c r="J625">
        <f t="shared" si="37"/>
        <v>5203</v>
      </c>
      <c r="K625">
        <v>0</v>
      </c>
      <c r="L625">
        <f t="shared" si="38"/>
        <v>0</v>
      </c>
      <c r="M625">
        <v>1</v>
      </c>
      <c r="N625">
        <f t="shared" si="39"/>
        <v>5203</v>
      </c>
    </row>
    <row r="626" spans="1:14" x14ac:dyDescent="0.25">
      <c r="A626">
        <f>VLOOKUP(B626,Calculations!$A$2:$B$10,2)+VLOOKUP(C626,Calculations!$C$2:$D$7,2)+VLOOKUP(D626,Calculations!$E$2:$F$6,2)+VLOOKUP(E626,Calculations!$G$2:$H$6,2)</f>
        <v>5204</v>
      </c>
      <c r="B626" t="s">
        <v>5</v>
      </c>
      <c r="C626" t="s">
        <v>19</v>
      </c>
      <c r="D626" t="s">
        <v>15</v>
      </c>
      <c r="E626" t="s">
        <v>25</v>
      </c>
      <c r="F626">
        <v>0</v>
      </c>
      <c r="G626">
        <v>0</v>
      </c>
      <c r="H626">
        <f t="shared" si="36"/>
        <v>0</v>
      </c>
      <c r="I626">
        <v>0</v>
      </c>
      <c r="J626">
        <f t="shared" si="37"/>
        <v>0</v>
      </c>
      <c r="K626">
        <v>0</v>
      </c>
      <c r="L626">
        <f t="shared" si="38"/>
        <v>0</v>
      </c>
      <c r="M626">
        <v>0</v>
      </c>
      <c r="N626">
        <f t="shared" si="39"/>
        <v>0</v>
      </c>
    </row>
    <row r="627" spans="1:14" x14ac:dyDescent="0.25">
      <c r="A627">
        <f>VLOOKUP(B627,Calculations!$A$2:$B$10,2)+VLOOKUP(C627,Calculations!$C$2:$D$7,2)+VLOOKUP(D627,Calculations!$E$2:$F$6,2)+VLOOKUP(E627,Calculations!$G$2:$H$6,2)</f>
        <v>5211</v>
      </c>
      <c r="B627" t="s">
        <v>6</v>
      </c>
      <c r="C627" t="s">
        <v>19</v>
      </c>
      <c r="D627" t="s">
        <v>54</v>
      </c>
      <c r="E627" t="s">
        <v>25</v>
      </c>
      <c r="F627">
        <v>1</v>
      </c>
      <c r="G627">
        <v>1</v>
      </c>
      <c r="H627">
        <f t="shared" si="36"/>
        <v>5211</v>
      </c>
      <c r="I627">
        <v>1</v>
      </c>
      <c r="J627">
        <f t="shared" si="37"/>
        <v>5211</v>
      </c>
      <c r="K627">
        <v>0</v>
      </c>
      <c r="L627">
        <f t="shared" si="38"/>
        <v>0</v>
      </c>
      <c r="M627">
        <v>1</v>
      </c>
      <c r="N627">
        <f t="shared" si="39"/>
        <v>5211</v>
      </c>
    </row>
    <row r="628" spans="1:14" x14ac:dyDescent="0.25">
      <c r="A628">
        <f>VLOOKUP(B628,Calculations!$A$2:$B$10,2)+VLOOKUP(C628,Calculations!$C$2:$D$7,2)+VLOOKUP(D628,Calculations!$E$2:$F$6,2)+VLOOKUP(E628,Calculations!$G$2:$H$6,2)</f>
        <v>5212</v>
      </c>
      <c r="B628" t="s">
        <v>6</v>
      </c>
      <c r="C628" t="s">
        <v>19</v>
      </c>
      <c r="D628" t="s">
        <v>13</v>
      </c>
      <c r="E628" t="s">
        <v>25</v>
      </c>
      <c r="F628">
        <v>1</v>
      </c>
      <c r="G628">
        <v>1</v>
      </c>
      <c r="H628">
        <f t="shared" si="36"/>
        <v>5212</v>
      </c>
      <c r="I628">
        <v>1</v>
      </c>
      <c r="J628">
        <f t="shared" si="37"/>
        <v>5212</v>
      </c>
      <c r="K628">
        <v>0</v>
      </c>
      <c r="L628">
        <f t="shared" si="38"/>
        <v>0</v>
      </c>
      <c r="M628">
        <v>1</v>
      </c>
      <c r="N628">
        <f t="shared" si="39"/>
        <v>5212</v>
      </c>
    </row>
    <row r="629" spans="1:14" x14ac:dyDescent="0.25">
      <c r="A629">
        <f>VLOOKUP(B629,Calculations!$A$2:$B$10,2)+VLOOKUP(C629,Calculations!$C$2:$D$7,2)+VLOOKUP(D629,Calculations!$E$2:$F$6,2)+VLOOKUP(E629,Calculations!$G$2:$H$6,2)</f>
        <v>5213</v>
      </c>
      <c r="B629" t="s">
        <v>6</v>
      </c>
      <c r="C629" t="s">
        <v>19</v>
      </c>
      <c r="D629" t="s">
        <v>14</v>
      </c>
      <c r="E629" t="s">
        <v>25</v>
      </c>
      <c r="F629">
        <v>1</v>
      </c>
      <c r="G629">
        <v>1</v>
      </c>
      <c r="H629">
        <f t="shared" si="36"/>
        <v>5213</v>
      </c>
      <c r="I629">
        <v>1</v>
      </c>
      <c r="J629">
        <f t="shared" si="37"/>
        <v>5213</v>
      </c>
      <c r="K629">
        <v>0</v>
      </c>
      <c r="L629">
        <f t="shared" si="38"/>
        <v>0</v>
      </c>
      <c r="M629">
        <v>1</v>
      </c>
      <c r="N629">
        <f t="shared" si="39"/>
        <v>5213</v>
      </c>
    </row>
    <row r="630" spans="1:14" x14ac:dyDescent="0.25">
      <c r="A630">
        <f>VLOOKUP(B630,Calculations!$A$2:$B$10,2)+VLOOKUP(C630,Calculations!$C$2:$D$7,2)+VLOOKUP(D630,Calculations!$E$2:$F$6,2)+VLOOKUP(E630,Calculations!$G$2:$H$6,2)</f>
        <v>5214</v>
      </c>
      <c r="B630" t="s">
        <v>6</v>
      </c>
      <c r="C630" t="s">
        <v>19</v>
      </c>
      <c r="D630" t="s">
        <v>15</v>
      </c>
      <c r="E630" t="s">
        <v>25</v>
      </c>
      <c r="F630">
        <v>0</v>
      </c>
      <c r="G630">
        <v>0</v>
      </c>
      <c r="H630">
        <f t="shared" si="36"/>
        <v>0</v>
      </c>
      <c r="I630">
        <v>0</v>
      </c>
      <c r="J630">
        <f t="shared" si="37"/>
        <v>0</v>
      </c>
      <c r="K630">
        <v>0</v>
      </c>
      <c r="L630">
        <f t="shared" si="38"/>
        <v>0</v>
      </c>
      <c r="M630">
        <v>0</v>
      </c>
      <c r="N630">
        <f t="shared" si="39"/>
        <v>0</v>
      </c>
    </row>
    <row r="631" spans="1:14" x14ac:dyDescent="0.25">
      <c r="A631">
        <f>VLOOKUP(B631,Calculations!$A$2:$B$10,2)+VLOOKUP(C631,Calculations!$C$2:$D$7,2)+VLOOKUP(D631,Calculations!$E$2:$F$6,2)+VLOOKUP(E631,Calculations!$G$2:$H$6,2)</f>
        <v>5221</v>
      </c>
      <c r="B631" t="s">
        <v>7</v>
      </c>
      <c r="C631" t="s">
        <v>19</v>
      </c>
      <c r="D631" t="s">
        <v>54</v>
      </c>
      <c r="E631" t="s">
        <v>25</v>
      </c>
      <c r="F631">
        <v>1</v>
      </c>
      <c r="G631">
        <v>1</v>
      </c>
      <c r="H631">
        <f t="shared" si="36"/>
        <v>5221</v>
      </c>
      <c r="I631">
        <v>1</v>
      </c>
      <c r="J631">
        <f t="shared" si="37"/>
        <v>5221</v>
      </c>
      <c r="K631">
        <v>0</v>
      </c>
      <c r="L631">
        <f t="shared" si="38"/>
        <v>0</v>
      </c>
      <c r="M631">
        <v>1</v>
      </c>
      <c r="N631">
        <f t="shared" si="39"/>
        <v>5221</v>
      </c>
    </row>
    <row r="632" spans="1:14" x14ac:dyDescent="0.25">
      <c r="A632">
        <f>VLOOKUP(B632,Calculations!$A$2:$B$10,2)+VLOOKUP(C632,Calculations!$C$2:$D$7,2)+VLOOKUP(D632,Calculations!$E$2:$F$6,2)+VLOOKUP(E632,Calculations!$G$2:$H$6,2)</f>
        <v>5222</v>
      </c>
      <c r="B632" t="s">
        <v>7</v>
      </c>
      <c r="C632" t="s">
        <v>19</v>
      </c>
      <c r="D632" t="s">
        <v>13</v>
      </c>
      <c r="E632" t="s">
        <v>25</v>
      </c>
      <c r="F632">
        <v>1</v>
      </c>
      <c r="G632">
        <v>1</v>
      </c>
      <c r="H632">
        <f t="shared" si="36"/>
        <v>5222</v>
      </c>
      <c r="I632">
        <v>1</v>
      </c>
      <c r="J632">
        <f t="shared" si="37"/>
        <v>5222</v>
      </c>
      <c r="K632">
        <v>0</v>
      </c>
      <c r="L632">
        <f t="shared" si="38"/>
        <v>0</v>
      </c>
      <c r="M632">
        <v>1</v>
      </c>
      <c r="N632">
        <f t="shared" si="39"/>
        <v>5222</v>
      </c>
    </row>
    <row r="633" spans="1:14" x14ac:dyDescent="0.25">
      <c r="A633">
        <f>VLOOKUP(B633,Calculations!$A$2:$B$10,2)+VLOOKUP(C633,Calculations!$C$2:$D$7,2)+VLOOKUP(D633,Calculations!$E$2:$F$6,2)+VLOOKUP(E633,Calculations!$G$2:$H$6,2)</f>
        <v>5223</v>
      </c>
      <c r="B633" t="s">
        <v>7</v>
      </c>
      <c r="C633" t="s">
        <v>19</v>
      </c>
      <c r="D633" t="s">
        <v>14</v>
      </c>
      <c r="E633" t="s">
        <v>25</v>
      </c>
      <c r="F633">
        <v>1</v>
      </c>
      <c r="G633">
        <v>1</v>
      </c>
      <c r="H633">
        <f t="shared" si="36"/>
        <v>5223</v>
      </c>
      <c r="I633">
        <v>1</v>
      </c>
      <c r="J633">
        <f t="shared" si="37"/>
        <v>5223</v>
      </c>
      <c r="K633">
        <v>0</v>
      </c>
      <c r="L633">
        <f t="shared" si="38"/>
        <v>0</v>
      </c>
      <c r="M633">
        <v>1</v>
      </c>
      <c r="N633">
        <f t="shared" si="39"/>
        <v>5223</v>
      </c>
    </row>
    <row r="634" spans="1:14" x14ac:dyDescent="0.25">
      <c r="A634">
        <f>VLOOKUP(B634,Calculations!$A$2:$B$10,2)+VLOOKUP(C634,Calculations!$C$2:$D$7,2)+VLOOKUP(D634,Calculations!$E$2:$F$6,2)+VLOOKUP(E634,Calculations!$G$2:$H$6,2)</f>
        <v>5224</v>
      </c>
      <c r="B634" t="s">
        <v>7</v>
      </c>
      <c r="C634" t="s">
        <v>19</v>
      </c>
      <c r="D634" t="s">
        <v>15</v>
      </c>
      <c r="E634" t="s">
        <v>25</v>
      </c>
      <c r="F634">
        <v>1</v>
      </c>
      <c r="G634">
        <v>1</v>
      </c>
      <c r="H634">
        <f t="shared" si="36"/>
        <v>5224</v>
      </c>
      <c r="I634">
        <v>1</v>
      </c>
      <c r="J634">
        <f t="shared" si="37"/>
        <v>5224</v>
      </c>
      <c r="K634">
        <v>0</v>
      </c>
      <c r="L634">
        <f t="shared" si="38"/>
        <v>0</v>
      </c>
      <c r="M634">
        <v>1</v>
      </c>
      <c r="N634">
        <f t="shared" si="39"/>
        <v>5224</v>
      </c>
    </row>
    <row r="635" spans="1:14" x14ac:dyDescent="0.25">
      <c r="A635">
        <f>VLOOKUP(B635,Calculations!$A$2:$B$10,2)+VLOOKUP(C635,Calculations!$C$2:$D$7,2)+VLOOKUP(D635,Calculations!$E$2:$F$6,2)+VLOOKUP(E635,Calculations!$G$2:$H$6,2)</f>
        <v>5231</v>
      </c>
      <c r="B635" t="s">
        <v>53</v>
      </c>
      <c r="C635" t="s">
        <v>19</v>
      </c>
      <c r="D635" t="s">
        <v>54</v>
      </c>
      <c r="E635" t="s">
        <v>25</v>
      </c>
      <c r="F635">
        <v>1</v>
      </c>
      <c r="G635">
        <v>1</v>
      </c>
      <c r="H635">
        <f t="shared" si="36"/>
        <v>5231</v>
      </c>
      <c r="I635">
        <v>1</v>
      </c>
      <c r="J635">
        <f t="shared" si="37"/>
        <v>5231</v>
      </c>
      <c r="K635">
        <v>0</v>
      </c>
      <c r="L635">
        <f t="shared" si="38"/>
        <v>0</v>
      </c>
      <c r="M635">
        <v>1</v>
      </c>
      <c r="N635">
        <f t="shared" si="39"/>
        <v>5231</v>
      </c>
    </row>
    <row r="636" spans="1:14" x14ac:dyDescent="0.25">
      <c r="A636">
        <f>VLOOKUP(B636,Calculations!$A$2:$B$10,2)+VLOOKUP(C636,Calculations!$C$2:$D$7,2)+VLOOKUP(D636,Calculations!$E$2:$F$6,2)+VLOOKUP(E636,Calculations!$G$2:$H$6,2)</f>
        <v>5232</v>
      </c>
      <c r="B636" t="s">
        <v>53</v>
      </c>
      <c r="C636" t="s">
        <v>19</v>
      </c>
      <c r="D636" t="s">
        <v>13</v>
      </c>
      <c r="E636" t="s">
        <v>25</v>
      </c>
      <c r="F636">
        <v>1</v>
      </c>
      <c r="G636">
        <v>1</v>
      </c>
      <c r="H636">
        <f t="shared" si="36"/>
        <v>5232</v>
      </c>
      <c r="I636">
        <v>1</v>
      </c>
      <c r="J636">
        <f t="shared" si="37"/>
        <v>5232</v>
      </c>
      <c r="K636">
        <v>0</v>
      </c>
      <c r="L636">
        <f t="shared" si="38"/>
        <v>0</v>
      </c>
      <c r="M636">
        <v>1</v>
      </c>
      <c r="N636">
        <f t="shared" si="39"/>
        <v>5232</v>
      </c>
    </row>
    <row r="637" spans="1:14" x14ac:dyDescent="0.25">
      <c r="A637">
        <f>VLOOKUP(B637,Calculations!$A$2:$B$10,2)+VLOOKUP(C637,Calculations!$C$2:$D$7,2)+VLOOKUP(D637,Calculations!$E$2:$F$6,2)+VLOOKUP(E637,Calculations!$G$2:$H$6,2)</f>
        <v>5233</v>
      </c>
      <c r="B637" t="s">
        <v>53</v>
      </c>
      <c r="C637" t="s">
        <v>19</v>
      </c>
      <c r="D637" t="s">
        <v>14</v>
      </c>
      <c r="E637" t="s">
        <v>25</v>
      </c>
      <c r="F637">
        <v>1</v>
      </c>
      <c r="G637">
        <v>1</v>
      </c>
      <c r="H637">
        <f t="shared" si="36"/>
        <v>5233</v>
      </c>
      <c r="I637">
        <v>1</v>
      </c>
      <c r="J637">
        <f t="shared" si="37"/>
        <v>5233</v>
      </c>
      <c r="K637">
        <v>0</v>
      </c>
      <c r="L637">
        <f t="shared" si="38"/>
        <v>0</v>
      </c>
      <c r="M637">
        <v>1</v>
      </c>
      <c r="N637">
        <f t="shared" si="39"/>
        <v>5233</v>
      </c>
    </row>
    <row r="638" spans="1:14" x14ac:dyDescent="0.25">
      <c r="A638">
        <f>VLOOKUP(B638,Calculations!$A$2:$B$10,2)+VLOOKUP(C638,Calculations!$C$2:$D$7,2)+VLOOKUP(D638,Calculations!$E$2:$F$6,2)+VLOOKUP(E638,Calculations!$G$2:$H$6,2)</f>
        <v>5234</v>
      </c>
      <c r="B638" t="s">
        <v>53</v>
      </c>
      <c r="C638" t="s">
        <v>19</v>
      </c>
      <c r="D638" t="s">
        <v>15</v>
      </c>
      <c r="E638" t="s">
        <v>25</v>
      </c>
      <c r="F638">
        <v>1</v>
      </c>
      <c r="G638">
        <v>1</v>
      </c>
      <c r="H638">
        <f t="shared" si="36"/>
        <v>5234</v>
      </c>
      <c r="I638">
        <v>1</v>
      </c>
      <c r="J638">
        <f t="shared" si="37"/>
        <v>5234</v>
      </c>
      <c r="K638">
        <v>0</v>
      </c>
      <c r="L638">
        <f t="shared" si="38"/>
        <v>0</v>
      </c>
      <c r="M638">
        <v>1</v>
      </c>
      <c r="N638">
        <f t="shared" si="39"/>
        <v>5234</v>
      </c>
    </row>
    <row r="639" spans="1:14" x14ac:dyDescent="0.25">
      <c r="A639">
        <f>VLOOKUP(B639,Calculations!$A$2:$B$10,2)+VLOOKUP(C639,Calculations!$C$2:$D$7,2)+VLOOKUP(D639,Calculations!$E$2:$F$6,2)+VLOOKUP(E639,Calculations!$G$2:$H$6,2)</f>
        <v>5241</v>
      </c>
      <c r="B639" t="s">
        <v>9</v>
      </c>
      <c r="C639" t="s">
        <v>19</v>
      </c>
      <c r="D639" t="s">
        <v>54</v>
      </c>
      <c r="E639" t="s">
        <v>25</v>
      </c>
      <c r="F639">
        <v>1</v>
      </c>
      <c r="G639">
        <v>1</v>
      </c>
      <c r="H639">
        <f t="shared" si="36"/>
        <v>5241</v>
      </c>
      <c r="I639">
        <v>1</v>
      </c>
      <c r="J639">
        <f t="shared" si="37"/>
        <v>5241</v>
      </c>
      <c r="K639">
        <v>0</v>
      </c>
      <c r="L639">
        <f t="shared" si="38"/>
        <v>0</v>
      </c>
      <c r="M639">
        <v>1</v>
      </c>
      <c r="N639">
        <f t="shared" si="39"/>
        <v>5241</v>
      </c>
    </row>
    <row r="640" spans="1:14" x14ac:dyDescent="0.25">
      <c r="A640">
        <f>VLOOKUP(B640,Calculations!$A$2:$B$10,2)+VLOOKUP(C640,Calculations!$C$2:$D$7,2)+VLOOKUP(D640,Calculations!$E$2:$F$6,2)+VLOOKUP(E640,Calculations!$G$2:$H$6,2)</f>
        <v>5242</v>
      </c>
      <c r="B640" t="s">
        <v>9</v>
      </c>
      <c r="C640" t="s">
        <v>19</v>
      </c>
      <c r="D640" t="s">
        <v>13</v>
      </c>
      <c r="E640" t="s">
        <v>25</v>
      </c>
      <c r="F640">
        <v>0</v>
      </c>
      <c r="G640">
        <v>0</v>
      </c>
      <c r="H640">
        <f t="shared" si="36"/>
        <v>0</v>
      </c>
      <c r="I640">
        <v>0</v>
      </c>
      <c r="J640">
        <f t="shared" si="37"/>
        <v>0</v>
      </c>
      <c r="K640">
        <v>0</v>
      </c>
      <c r="L640">
        <f t="shared" si="38"/>
        <v>0</v>
      </c>
      <c r="M640">
        <v>0</v>
      </c>
      <c r="N640">
        <f t="shared" si="39"/>
        <v>0</v>
      </c>
    </row>
    <row r="641" spans="1:14" x14ac:dyDescent="0.25">
      <c r="A641">
        <f>VLOOKUP(B641,Calculations!$A$2:$B$10,2)+VLOOKUP(C641,Calculations!$C$2:$D$7,2)+VLOOKUP(D641,Calculations!$E$2:$F$6,2)+VLOOKUP(E641,Calculations!$G$2:$H$6,2)</f>
        <v>5243</v>
      </c>
      <c r="B641" t="s">
        <v>9</v>
      </c>
      <c r="C641" t="s">
        <v>19</v>
      </c>
      <c r="D641" t="s">
        <v>14</v>
      </c>
      <c r="E641" t="s">
        <v>25</v>
      </c>
      <c r="F641">
        <v>0</v>
      </c>
      <c r="G641">
        <v>0</v>
      </c>
      <c r="H641">
        <f t="shared" si="36"/>
        <v>0</v>
      </c>
      <c r="I641">
        <v>0</v>
      </c>
      <c r="J641">
        <f t="shared" si="37"/>
        <v>0</v>
      </c>
      <c r="K641">
        <v>0</v>
      </c>
      <c r="L641">
        <f t="shared" si="38"/>
        <v>0</v>
      </c>
      <c r="M641">
        <v>0</v>
      </c>
      <c r="N641">
        <f t="shared" si="39"/>
        <v>0</v>
      </c>
    </row>
    <row r="642" spans="1:14" x14ac:dyDescent="0.25">
      <c r="A642">
        <f>VLOOKUP(B642,Calculations!$A$2:$B$10,2)+VLOOKUP(C642,Calculations!$C$2:$D$7,2)+VLOOKUP(D642,Calculations!$E$2:$F$6,2)+VLOOKUP(E642,Calculations!$G$2:$H$6,2)</f>
        <v>5244</v>
      </c>
      <c r="B642" t="s">
        <v>9</v>
      </c>
      <c r="C642" t="s">
        <v>19</v>
      </c>
      <c r="D642" t="s">
        <v>15</v>
      </c>
      <c r="E642" t="s">
        <v>25</v>
      </c>
      <c r="F642">
        <v>0</v>
      </c>
      <c r="G642">
        <v>0</v>
      </c>
      <c r="H642">
        <f t="shared" ref="H642:H705" si="40">A642*G642</f>
        <v>0</v>
      </c>
      <c r="I642">
        <v>0</v>
      </c>
      <c r="J642">
        <f t="shared" ref="J642:J705" si="41">A642*I642</f>
        <v>0</v>
      </c>
      <c r="K642">
        <v>0</v>
      </c>
      <c r="L642">
        <f t="shared" ref="L642:L705" si="42">K642*A642</f>
        <v>0</v>
      </c>
      <c r="M642">
        <v>0</v>
      </c>
      <c r="N642">
        <f t="shared" ref="N642:N705" si="43">A642*M642</f>
        <v>0</v>
      </c>
    </row>
    <row r="643" spans="1:14" x14ac:dyDescent="0.25">
      <c r="A643">
        <f>VLOOKUP(B643,Calculations!$A$2:$B$10,2)+VLOOKUP(C643,Calculations!$C$2:$D$7,2)+VLOOKUP(D643,Calculations!$E$2:$F$6,2)+VLOOKUP(E643,Calculations!$G$2:$H$6,2)</f>
        <v>5251</v>
      </c>
      <c r="B643" t="s">
        <v>50</v>
      </c>
      <c r="C643" t="s">
        <v>19</v>
      </c>
      <c r="D643" t="s">
        <v>54</v>
      </c>
      <c r="E643" t="s">
        <v>25</v>
      </c>
      <c r="F643">
        <v>1</v>
      </c>
      <c r="G643">
        <v>1</v>
      </c>
      <c r="H643">
        <f t="shared" si="40"/>
        <v>5251</v>
      </c>
      <c r="I643">
        <v>1</v>
      </c>
      <c r="J643">
        <f t="shared" si="41"/>
        <v>5251</v>
      </c>
      <c r="K643">
        <v>0</v>
      </c>
      <c r="L643">
        <f t="shared" si="42"/>
        <v>0</v>
      </c>
      <c r="M643">
        <v>1</v>
      </c>
      <c r="N643">
        <f t="shared" si="43"/>
        <v>5251</v>
      </c>
    </row>
    <row r="644" spans="1:14" x14ac:dyDescent="0.25">
      <c r="A644">
        <f>VLOOKUP(B644,Calculations!$A$2:$B$10,2)+VLOOKUP(C644,Calculations!$C$2:$D$7,2)+VLOOKUP(D644,Calculations!$E$2:$F$6,2)+VLOOKUP(E644,Calculations!$G$2:$H$6,2)</f>
        <v>5252</v>
      </c>
      <c r="B644" t="s">
        <v>50</v>
      </c>
      <c r="C644" t="s">
        <v>19</v>
      </c>
      <c r="D644" t="s">
        <v>13</v>
      </c>
      <c r="E644" t="s">
        <v>25</v>
      </c>
      <c r="F644">
        <v>1</v>
      </c>
      <c r="G644">
        <v>1</v>
      </c>
      <c r="H644">
        <f t="shared" si="40"/>
        <v>5252</v>
      </c>
      <c r="I644">
        <v>1</v>
      </c>
      <c r="J644">
        <f t="shared" si="41"/>
        <v>5252</v>
      </c>
      <c r="K644">
        <v>0</v>
      </c>
      <c r="L644">
        <f t="shared" si="42"/>
        <v>0</v>
      </c>
      <c r="M644">
        <v>1</v>
      </c>
      <c r="N644">
        <f t="shared" si="43"/>
        <v>5252</v>
      </c>
    </row>
    <row r="645" spans="1:14" x14ac:dyDescent="0.25">
      <c r="A645">
        <f>VLOOKUP(B645,Calculations!$A$2:$B$10,2)+VLOOKUP(C645,Calculations!$C$2:$D$7,2)+VLOOKUP(D645,Calculations!$E$2:$F$6,2)+VLOOKUP(E645,Calculations!$G$2:$H$6,2)</f>
        <v>5253</v>
      </c>
      <c r="B645" t="s">
        <v>50</v>
      </c>
      <c r="C645" t="s">
        <v>19</v>
      </c>
      <c r="D645" t="s">
        <v>14</v>
      </c>
      <c r="E645" t="s">
        <v>25</v>
      </c>
      <c r="F645">
        <v>1</v>
      </c>
      <c r="G645">
        <v>1</v>
      </c>
      <c r="H645">
        <f t="shared" si="40"/>
        <v>5253</v>
      </c>
      <c r="I645">
        <v>1</v>
      </c>
      <c r="J645">
        <f t="shared" si="41"/>
        <v>5253</v>
      </c>
      <c r="K645">
        <v>0</v>
      </c>
      <c r="L645">
        <f t="shared" si="42"/>
        <v>0</v>
      </c>
      <c r="M645">
        <v>1</v>
      </c>
      <c r="N645">
        <f t="shared" si="43"/>
        <v>5253</v>
      </c>
    </row>
    <row r="646" spans="1:14" x14ac:dyDescent="0.25">
      <c r="A646">
        <f>VLOOKUP(B646,Calculations!$A$2:$B$10,2)+VLOOKUP(C646,Calculations!$C$2:$D$7,2)+VLOOKUP(D646,Calculations!$E$2:$F$6,2)+VLOOKUP(E646,Calculations!$G$2:$H$6,2)</f>
        <v>5254</v>
      </c>
      <c r="B646" t="s">
        <v>50</v>
      </c>
      <c r="C646" t="s">
        <v>19</v>
      </c>
      <c r="D646" t="s">
        <v>15</v>
      </c>
      <c r="E646" t="s">
        <v>25</v>
      </c>
      <c r="F646">
        <v>1</v>
      </c>
      <c r="G646">
        <v>1</v>
      </c>
      <c r="H646">
        <f t="shared" si="40"/>
        <v>5254</v>
      </c>
      <c r="I646">
        <v>1</v>
      </c>
      <c r="J646">
        <f t="shared" si="41"/>
        <v>5254</v>
      </c>
      <c r="K646">
        <v>0</v>
      </c>
      <c r="L646">
        <f t="shared" si="42"/>
        <v>0</v>
      </c>
      <c r="M646">
        <v>1</v>
      </c>
      <c r="N646">
        <f t="shared" si="43"/>
        <v>5254</v>
      </c>
    </row>
    <row r="647" spans="1:14" x14ac:dyDescent="0.25">
      <c r="A647">
        <f>VLOOKUP(B647,Calculations!$A$2:$B$10,2)+VLOOKUP(C647,Calculations!$C$2:$D$7,2)+VLOOKUP(D647,Calculations!$E$2:$F$6,2)+VLOOKUP(E647,Calculations!$G$2:$H$6,2)</f>
        <v>5261</v>
      </c>
      <c r="B647" t="s">
        <v>51</v>
      </c>
      <c r="C647" t="s">
        <v>19</v>
      </c>
      <c r="D647" t="s">
        <v>54</v>
      </c>
      <c r="E647" t="s">
        <v>25</v>
      </c>
      <c r="F647">
        <v>1</v>
      </c>
      <c r="G647">
        <v>0</v>
      </c>
      <c r="H647">
        <f t="shared" si="40"/>
        <v>0</v>
      </c>
      <c r="I647">
        <v>1</v>
      </c>
      <c r="J647">
        <f t="shared" si="41"/>
        <v>5261</v>
      </c>
      <c r="K647">
        <v>0</v>
      </c>
      <c r="L647">
        <f t="shared" si="42"/>
        <v>0</v>
      </c>
      <c r="M647">
        <v>0</v>
      </c>
      <c r="N647">
        <f t="shared" si="43"/>
        <v>0</v>
      </c>
    </row>
    <row r="648" spans="1:14" x14ac:dyDescent="0.25">
      <c r="A648">
        <f>VLOOKUP(B648,Calculations!$A$2:$B$10,2)+VLOOKUP(C648,Calculations!$C$2:$D$7,2)+VLOOKUP(D648,Calculations!$E$2:$F$6,2)+VLOOKUP(E648,Calculations!$G$2:$H$6,2)</f>
        <v>5262</v>
      </c>
      <c r="B648" t="s">
        <v>51</v>
      </c>
      <c r="C648" t="s">
        <v>19</v>
      </c>
      <c r="D648" t="s">
        <v>13</v>
      </c>
      <c r="E648" t="s">
        <v>25</v>
      </c>
      <c r="F648">
        <v>1</v>
      </c>
      <c r="G648">
        <v>0</v>
      </c>
      <c r="H648">
        <f t="shared" si="40"/>
        <v>0</v>
      </c>
      <c r="I648">
        <v>1</v>
      </c>
      <c r="J648">
        <f t="shared" si="41"/>
        <v>5262</v>
      </c>
      <c r="K648">
        <v>0</v>
      </c>
      <c r="L648">
        <f t="shared" si="42"/>
        <v>0</v>
      </c>
      <c r="M648">
        <v>0</v>
      </c>
      <c r="N648">
        <f t="shared" si="43"/>
        <v>0</v>
      </c>
    </row>
    <row r="649" spans="1:14" x14ac:dyDescent="0.25">
      <c r="A649">
        <f>VLOOKUP(B649,Calculations!$A$2:$B$10,2)+VLOOKUP(C649,Calculations!$C$2:$D$7,2)+VLOOKUP(D649,Calculations!$E$2:$F$6,2)+VLOOKUP(E649,Calculations!$G$2:$H$6,2)</f>
        <v>5263</v>
      </c>
      <c r="B649" t="s">
        <v>51</v>
      </c>
      <c r="C649" t="s">
        <v>19</v>
      </c>
      <c r="D649" t="s">
        <v>14</v>
      </c>
      <c r="E649" t="s">
        <v>25</v>
      </c>
      <c r="F649">
        <v>1</v>
      </c>
      <c r="G649">
        <v>0</v>
      </c>
      <c r="H649">
        <f t="shared" si="40"/>
        <v>0</v>
      </c>
      <c r="I649">
        <v>1</v>
      </c>
      <c r="J649">
        <f t="shared" si="41"/>
        <v>5263</v>
      </c>
      <c r="K649">
        <v>0</v>
      </c>
      <c r="L649">
        <f t="shared" si="42"/>
        <v>0</v>
      </c>
      <c r="M649">
        <v>0</v>
      </c>
      <c r="N649">
        <f t="shared" si="43"/>
        <v>0</v>
      </c>
    </row>
    <row r="650" spans="1:14" x14ac:dyDescent="0.25">
      <c r="A650">
        <f>VLOOKUP(B650,Calculations!$A$2:$B$10,2)+VLOOKUP(C650,Calculations!$C$2:$D$7,2)+VLOOKUP(D650,Calculations!$E$2:$F$6,2)+VLOOKUP(E650,Calculations!$G$2:$H$6,2)</f>
        <v>5264</v>
      </c>
      <c r="B650" t="s">
        <v>51</v>
      </c>
      <c r="C650" t="s">
        <v>19</v>
      </c>
      <c r="D650" t="s">
        <v>15</v>
      </c>
      <c r="E650" t="s">
        <v>25</v>
      </c>
      <c r="F650">
        <v>1</v>
      </c>
      <c r="G650">
        <v>0</v>
      </c>
      <c r="H650">
        <f t="shared" si="40"/>
        <v>0</v>
      </c>
      <c r="I650">
        <v>1</v>
      </c>
      <c r="J650">
        <f t="shared" si="41"/>
        <v>5264</v>
      </c>
      <c r="K650">
        <v>0</v>
      </c>
      <c r="L650">
        <f t="shared" si="42"/>
        <v>0</v>
      </c>
      <c r="M650">
        <v>0</v>
      </c>
      <c r="N650">
        <f t="shared" si="43"/>
        <v>0</v>
      </c>
    </row>
    <row r="651" spans="1:14" x14ac:dyDescent="0.25">
      <c r="A651">
        <f>VLOOKUP(B651,Calculations!$A$2:$B$10,2)+VLOOKUP(C651,Calculations!$C$2:$D$7,2)+VLOOKUP(D651,Calculations!$E$2:$F$6,2)+VLOOKUP(E651,Calculations!$G$2:$H$6,2)</f>
        <v>5271</v>
      </c>
      <c r="B651" t="s">
        <v>52</v>
      </c>
      <c r="C651" t="s">
        <v>19</v>
      </c>
      <c r="D651" t="s">
        <v>54</v>
      </c>
      <c r="E651" t="s">
        <v>25</v>
      </c>
      <c r="F651">
        <v>1</v>
      </c>
      <c r="G651">
        <v>1</v>
      </c>
      <c r="H651">
        <f t="shared" si="40"/>
        <v>5271</v>
      </c>
      <c r="I651">
        <v>1</v>
      </c>
      <c r="J651">
        <f t="shared" si="41"/>
        <v>5271</v>
      </c>
      <c r="K651">
        <v>0</v>
      </c>
      <c r="L651">
        <f t="shared" si="42"/>
        <v>0</v>
      </c>
      <c r="M651">
        <v>0</v>
      </c>
      <c r="N651">
        <f t="shared" si="43"/>
        <v>0</v>
      </c>
    </row>
    <row r="652" spans="1:14" x14ac:dyDescent="0.25">
      <c r="A652">
        <f>VLOOKUP(B652,Calculations!$A$2:$B$10,2)+VLOOKUP(C652,Calculations!$C$2:$D$7,2)+VLOOKUP(D652,Calculations!$E$2:$F$6,2)+VLOOKUP(E652,Calculations!$G$2:$H$6,2)</f>
        <v>5272</v>
      </c>
      <c r="B652" t="s">
        <v>52</v>
      </c>
      <c r="C652" t="s">
        <v>19</v>
      </c>
      <c r="D652" t="s">
        <v>13</v>
      </c>
      <c r="E652" t="s">
        <v>25</v>
      </c>
      <c r="F652">
        <v>1</v>
      </c>
      <c r="G652">
        <v>1</v>
      </c>
      <c r="H652">
        <f t="shared" si="40"/>
        <v>5272</v>
      </c>
      <c r="I652">
        <v>1</v>
      </c>
      <c r="J652">
        <f t="shared" si="41"/>
        <v>5272</v>
      </c>
      <c r="K652">
        <v>0</v>
      </c>
      <c r="L652">
        <f t="shared" si="42"/>
        <v>0</v>
      </c>
      <c r="M652">
        <v>0</v>
      </c>
      <c r="N652">
        <f t="shared" si="43"/>
        <v>0</v>
      </c>
    </row>
    <row r="653" spans="1:14" x14ac:dyDescent="0.25">
      <c r="A653">
        <f>VLOOKUP(B653,Calculations!$A$2:$B$10,2)+VLOOKUP(C653,Calculations!$C$2:$D$7,2)+VLOOKUP(D653,Calculations!$E$2:$F$6,2)+VLOOKUP(E653,Calculations!$G$2:$H$6,2)</f>
        <v>5273</v>
      </c>
      <c r="B653" t="s">
        <v>52</v>
      </c>
      <c r="C653" t="s">
        <v>19</v>
      </c>
      <c r="D653" t="s">
        <v>14</v>
      </c>
      <c r="E653" t="s">
        <v>25</v>
      </c>
      <c r="F653">
        <v>1</v>
      </c>
      <c r="G653">
        <v>1</v>
      </c>
      <c r="H653">
        <f t="shared" si="40"/>
        <v>5273</v>
      </c>
      <c r="I653">
        <v>1</v>
      </c>
      <c r="J653">
        <f t="shared" si="41"/>
        <v>5273</v>
      </c>
      <c r="K653">
        <v>0</v>
      </c>
      <c r="L653">
        <f t="shared" si="42"/>
        <v>0</v>
      </c>
      <c r="M653">
        <v>0</v>
      </c>
      <c r="N653">
        <f t="shared" si="43"/>
        <v>0</v>
      </c>
    </row>
    <row r="654" spans="1:14" x14ac:dyDescent="0.25">
      <c r="A654">
        <f>VLOOKUP(B654,Calculations!$A$2:$B$10,2)+VLOOKUP(C654,Calculations!$C$2:$D$7,2)+VLOOKUP(D654,Calculations!$E$2:$F$6,2)+VLOOKUP(E654,Calculations!$G$2:$H$6,2)</f>
        <v>5274</v>
      </c>
      <c r="B654" t="s">
        <v>52</v>
      </c>
      <c r="C654" t="s">
        <v>19</v>
      </c>
      <c r="D654" t="s">
        <v>15</v>
      </c>
      <c r="E654" t="s">
        <v>25</v>
      </c>
      <c r="F654">
        <v>1</v>
      </c>
      <c r="G654">
        <v>1</v>
      </c>
      <c r="H654">
        <f t="shared" si="40"/>
        <v>5274</v>
      </c>
      <c r="I654">
        <v>1</v>
      </c>
      <c r="J654">
        <f t="shared" si="41"/>
        <v>5274</v>
      </c>
      <c r="K654">
        <v>0</v>
      </c>
      <c r="L654">
        <f t="shared" si="42"/>
        <v>0</v>
      </c>
      <c r="M654">
        <v>0</v>
      </c>
      <c r="N654">
        <f t="shared" si="43"/>
        <v>0</v>
      </c>
    </row>
    <row r="655" spans="1:14" x14ac:dyDescent="0.25">
      <c r="A655">
        <f>VLOOKUP(B655,Calculations!$A$2:$B$10,2)+VLOOKUP(C655,Calculations!$C$2:$D$7,2)+VLOOKUP(D655,Calculations!$E$2:$F$6,2)+VLOOKUP(E655,Calculations!$G$2:$H$6,2)</f>
        <v>5281</v>
      </c>
      <c r="B655" t="s">
        <v>8</v>
      </c>
      <c r="C655" t="s">
        <v>19</v>
      </c>
      <c r="D655" t="s">
        <v>54</v>
      </c>
      <c r="E655" t="s">
        <v>25</v>
      </c>
      <c r="F655">
        <v>1</v>
      </c>
      <c r="G655">
        <v>1</v>
      </c>
      <c r="H655">
        <f t="shared" si="40"/>
        <v>5281</v>
      </c>
      <c r="I655">
        <v>0</v>
      </c>
      <c r="J655">
        <f t="shared" si="41"/>
        <v>0</v>
      </c>
      <c r="K655">
        <v>0</v>
      </c>
      <c r="L655">
        <f t="shared" si="42"/>
        <v>0</v>
      </c>
      <c r="M655">
        <v>1</v>
      </c>
      <c r="N655">
        <f t="shared" si="43"/>
        <v>5281</v>
      </c>
    </row>
    <row r="656" spans="1:14" x14ac:dyDescent="0.25">
      <c r="A656">
        <f>VLOOKUP(B656,Calculations!$A$2:$B$10,2)+VLOOKUP(C656,Calculations!$C$2:$D$7,2)+VLOOKUP(D656,Calculations!$E$2:$F$6,2)+VLOOKUP(E656,Calculations!$G$2:$H$6,2)</f>
        <v>5282</v>
      </c>
      <c r="B656" t="s">
        <v>8</v>
      </c>
      <c r="C656" t="s">
        <v>19</v>
      </c>
      <c r="D656" t="s">
        <v>13</v>
      </c>
      <c r="E656" t="s">
        <v>25</v>
      </c>
      <c r="F656">
        <v>1</v>
      </c>
      <c r="G656">
        <v>1</v>
      </c>
      <c r="H656">
        <f t="shared" si="40"/>
        <v>5282</v>
      </c>
      <c r="I656">
        <v>0</v>
      </c>
      <c r="J656">
        <f t="shared" si="41"/>
        <v>0</v>
      </c>
      <c r="K656">
        <v>0</v>
      </c>
      <c r="L656">
        <f t="shared" si="42"/>
        <v>0</v>
      </c>
      <c r="M656">
        <v>1</v>
      </c>
      <c r="N656">
        <f t="shared" si="43"/>
        <v>5282</v>
      </c>
    </row>
    <row r="657" spans="1:14" x14ac:dyDescent="0.25">
      <c r="A657">
        <f>VLOOKUP(B657,Calculations!$A$2:$B$10,2)+VLOOKUP(C657,Calculations!$C$2:$D$7,2)+VLOOKUP(D657,Calculations!$E$2:$F$6,2)+VLOOKUP(E657,Calculations!$G$2:$H$6,2)</f>
        <v>5283</v>
      </c>
      <c r="B657" t="s">
        <v>8</v>
      </c>
      <c r="C657" t="s">
        <v>19</v>
      </c>
      <c r="D657" t="s">
        <v>14</v>
      </c>
      <c r="E657" t="s">
        <v>25</v>
      </c>
      <c r="F657">
        <v>1</v>
      </c>
      <c r="G657">
        <v>1</v>
      </c>
      <c r="H657">
        <f t="shared" si="40"/>
        <v>5283</v>
      </c>
      <c r="I657">
        <v>0</v>
      </c>
      <c r="J657">
        <f t="shared" si="41"/>
        <v>0</v>
      </c>
      <c r="K657">
        <v>0</v>
      </c>
      <c r="L657">
        <f t="shared" si="42"/>
        <v>0</v>
      </c>
      <c r="M657">
        <v>1</v>
      </c>
      <c r="N657">
        <f t="shared" si="43"/>
        <v>5283</v>
      </c>
    </row>
    <row r="658" spans="1:14" x14ac:dyDescent="0.25">
      <c r="A658">
        <f>VLOOKUP(B658,Calculations!$A$2:$B$10,2)+VLOOKUP(C658,Calculations!$C$2:$D$7,2)+VLOOKUP(D658,Calculations!$E$2:$F$6,2)+VLOOKUP(E658,Calculations!$G$2:$H$6,2)</f>
        <v>5284</v>
      </c>
      <c r="B658" t="s">
        <v>8</v>
      </c>
      <c r="C658" t="s">
        <v>19</v>
      </c>
      <c r="D658" t="s">
        <v>15</v>
      </c>
      <c r="E658" t="s">
        <v>25</v>
      </c>
      <c r="F658">
        <v>1</v>
      </c>
      <c r="G658">
        <v>1</v>
      </c>
      <c r="H658">
        <f t="shared" si="40"/>
        <v>5284</v>
      </c>
      <c r="I658">
        <v>0</v>
      </c>
      <c r="J658">
        <f t="shared" si="41"/>
        <v>0</v>
      </c>
      <c r="K658">
        <v>0</v>
      </c>
      <c r="L658">
        <f t="shared" si="42"/>
        <v>0</v>
      </c>
      <c r="M658">
        <v>1</v>
      </c>
      <c r="N658">
        <f t="shared" si="43"/>
        <v>5284</v>
      </c>
    </row>
    <row r="659" spans="1:14" x14ac:dyDescent="0.25">
      <c r="A659">
        <f>VLOOKUP(B659,Calculations!$A$2:$B$10,2)+VLOOKUP(C659,Calculations!$C$2:$D$7,2)+VLOOKUP(D659,Calculations!$E$2:$F$6,2)+VLOOKUP(E659,Calculations!$G$2:$H$6,2)</f>
        <v>5301</v>
      </c>
      <c r="B659" t="s">
        <v>5</v>
      </c>
      <c r="C659" t="s">
        <v>19</v>
      </c>
      <c r="D659" t="s">
        <v>54</v>
      </c>
      <c r="E659" t="s">
        <v>26</v>
      </c>
      <c r="F659">
        <v>1</v>
      </c>
      <c r="G659">
        <v>1</v>
      </c>
      <c r="H659">
        <f t="shared" si="40"/>
        <v>5301</v>
      </c>
      <c r="I659">
        <v>1</v>
      </c>
      <c r="J659">
        <f t="shared" si="41"/>
        <v>5301</v>
      </c>
      <c r="K659">
        <v>0</v>
      </c>
      <c r="L659">
        <f t="shared" si="42"/>
        <v>0</v>
      </c>
      <c r="M659">
        <v>0</v>
      </c>
      <c r="N659">
        <f t="shared" si="43"/>
        <v>0</v>
      </c>
    </row>
    <row r="660" spans="1:14" x14ac:dyDescent="0.25">
      <c r="A660">
        <f>VLOOKUP(B660,Calculations!$A$2:$B$10,2)+VLOOKUP(C660,Calculations!$C$2:$D$7,2)+VLOOKUP(D660,Calculations!$E$2:$F$6,2)+VLOOKUP(E660,Calculations!$G$2:$H$6,2)</f>
        <v>5302</v>
      </c>
      <c r="B660" t="s">
        <v>5</v>
      </c>
      <c r="C660" t="s">
        <v>19</v>
      </c>
      <c r="D660" t="s">
        <v>13</v>
      </c>
      <c r="E660" t="s">
        <v>26</v>
      </c>
      <c r="F660">
        <v>1</v>
      </c>
      <c r="G660">
        <v>1</v>
      </c>
      <c r="H660">
        <f t="shared" si="40"/>
        <v>5302</v>
      </c>
      <c r="I660">
        <v>1</v>
      </c>
      <c r="J660">
        <f t="shared" si="41"/>
        <v>5302</v>
      </c>
      <c r="K660">
        <v>0</v>
      </c>
      <c r="L660">
        <f t="shared" si="42"/>
        <v>0</v>
      </c>
      <c r="M660">
        <v>0</v>
      </c>
      <c r="N660">
        <f t="shared" si="43"/>
        <v>0</v>
      </c>
    </row>
    <row r="661" spans="1:14" x14ac:dyDescent="0.25">
      <c r="A661">
        <f>VLOOKUP(B661,Calculations!$A$2:$B$10,2)+VLOOKUP(C661,Calculations!$C$2:$D$7,2)+VLOOKUP(D661,Calculations!$E$2:$F$6,2)+VLOOKUP(E661,Calculations!$G$2:$H$6,2)</f>
        <v>5303</v>
      </c>
      <c r="B661" t="s">
        <v>5</v>
      </c>
      <c r="C661" t="s">
        <v>19</v>
      </c>
      <c r="D661" t="s">
        <v>14</v>
      </c>
      <c r="E661" t="s">
        <v>26</v>
      </c>
      <c r="F661">
        <v>1</v>
      </c>
      <c r="G661">
        <v>1</v>
      </c>
      <c r="H661">
        <f t="shared" si="40"/>
        <v>5303</v>
      </c>
      <c r="I661">
        <v>1</v>
      </c>
      <c r="J661">
        <f t="shared" si="41"/>
        <v>5303</v>
      </c>
      <c r="K661">
        <v>0</v>
      </c>
      <c r="L661">
        <f t="shared" si="42"/>
        <v>0</v>
      </c>
      <c r="M661">
        <v>0</v>
      </c>
      <c r="N661">
        <f t="shared" si="43"/>
        <v>0</v>
      </c>
    </row>
    <row r="662" spans="1:14" x14ac:dyDescent="0.25">
      <c r="A662">
        <f>VLOOKUP(B662,Calculations!$A$2:$B$10,2)+VLOOKUP(C662,Calculations!$C$2:$D$7,2)+VLOOKUP(D662,Calculations!$E$2:$F$6,2)+VLOOKUP(E662,Calculations!$G$2:$H$6,2)</f>
        <v>5304</v>
      </c>
      <c r="B662" t="s">
        <v>5</v>
      </c>
      <c r="C662" t="s">
        <v>19</v>
      </c>
      <c r="D662" t="s">
        <v>15</v>
      </c>
      <c r="E662" t="s">
        <v>26</v>
      </c>
      <c r="F662">
        <v>0</v>
      </c>
      <c r="G662">
        <v>0</v>
      </c>
      <c r="H662">
        <f t="shared" si="40"/>
        <v>0</v>
      </c>
      <c r="I662">
        <v>0</v>
      </c>
      <c r="J662">
        <f t="shared" si="41"/>
        <v>0</v>
      </c>
      <c r="K662">
        <v>0</v>
      </c>
      <c r="L662">
        <f t="shared" si="42"/>
        <v>0</v>
      </c>
      <c r="M662">
        <v>0</v>
      </c>
      <c r="N662">
        <f t="shared" si="43"/>
        <v>0</v>
      </c>
    </row>
    <row r="663" spans="1:14" x14ac:dyDescent="0.25">
      <c r="A663">
        <f>VLOOKUP(B663,Calculations!$A$2:$B$10,2)+VLOOKUP(C663,Calculations!$C$2:$D$7,2)+VLOOKUP(D663,Calculations!$E$2:$F$6,2)+VLOOKUP(E663,Calculations!$G$2:$H$6,2)</f>
        <v>5311</v>
      </c>
      <c r="B663" t="s">
        <v>6</v>
      </c>
      <c r="C663" t="s">
        <v>19</v>
      </c>
      <c r="D663" t="s">
        <v>54</v>
      </c>
      <c r="E663" t="s">
        <v>26</v>
      </c>
      <c r="F663">
        <v>1</v>
      </c>
      <c r="G663">
        <v>1</v>
      </c>
      <c r="H663">
        <f t="shared" si="40"/>
        <v>5311</v>
      </c>
      <c r="I663">
        <v>1</v>
      </c>
      <c r="J663">
        <f t="shared" si="41"/>
        <v>5311</v>
      </c>
      <c r="K663">
        <v>0</v>
      </c>
      <c r="L663">
        <f t="shared" si="42"/>
        <v>0</v>
      </c>
      <c r="M663">
        <v>0</v>
      </c>
      <c r="N663">
        <f t="shared" si="43"/>
        <v>0</v>
      </c>
    </row>
    <row r="664" spans="1:14" x14ac:dyDescent="0.25">
      <c r="A664">
        <f>VLOOKUP(B664,Calculations!$A$2:$B$10,2)+VLOOKUP(C664,Calculations!$C$2:$D$7,2)+VLOOKUP(D664,Calculations!$E$2:$F$6,2)+VLOOKUP(E664,Calculations!$G$2:$H$6,2)</f>
        <v>5312</v>
      </c>
      <c r="B664" t="s">
        <v>6</v>
      </c>
      <c r="C664" t="s">
        <v>19</v>
      </c>
      <c r="D664" t="s">
        <v>13</v>
      </c>
      <c r="E664" t="s">
        <v>26</v>
      </c>
      <c r="F664">
        <v>1</v>
      </c>
      <c r="G664">
        <v>1</v>
      </c>
      <c r="H664">
        <f t="shared" si="40"/>
        <v>5312</v>
      </c>
      <c r="I664">
        <v>1</v>
      </c>
      <c r="J664">
        <f t="shared" si="41"/>
        <v>5312</v>
      </c>
      <c r="K664">
        <v>0</v>
      </c>
      <c r="L664">
        <f t="shared" si="42"/>
        <v>0</v>
      </c>
      <c r="M664">
        <v>0</v>
      </c>
      <c r="N664">
        <f t="shared" si="43"/>
        <v>0</v>
      </c>
    </row>
    <row r="665" spans="1:14" x14ac:dyDescent="0.25">
      <c r="A665">
        <f>VLOOKUP(B665,Calculations!$A$2:$B$10,2)+VLOOKUP(C665,Calculations!$C$2:$D$7,2)+VLOOKUP(D665,Calculations!$E$2:$F$6,2)+VLOOKUP(E665,Calculations!$G$2:$H$6,2)</f>
        <v>5313</v>
      </c>
      <c r="B665" t="s">
        <v>6</v>
      </c>
      <c r="C665" t="s">
        <v>19</v>
      </c>
      <c r="D665" t="s">
        <v>14</v>
      </c>
      <c r="E665" t="s">
        <v>26</v>
      </c>
      <c r="F665">
        <v>1</v>
      </c>
      <c r="G665">
        <v>1</v>
      </c>
      <c r="H665">
        <f t="shared" si="40"/>
        <v>5313</v>
      </c>
      <c r="I665">
        <v>1</v>
      </c>
      <c r="J665">
        <f t="shared" si="41"/>
        <v>5313</v>
      </c>
      <c r="K665">
        <v>0</v>
      </c>
      <c r="L665">
        <f t="shared" si="42"/>
        <v>0</v>
      </c>
      <c r="M665">
        <v>0</v>
      </c>
      <c r="N665">
        <f t="shared" si="43"/>
        <v>0</v>
      </c>
    </row>
    <row r="666" spans="1:14" x14ac:dyDescent="0.25">
      <c r="A666">
        <f>VLOOKUP(B666,Calculations!$A$2:$B$10,2)+VLOOKUP(C666,Calculations!$C$2:$D$7,2)+VLOOKUP(D666,Calculations!$E$2:$F$6,2)+VLOOKUP(E666,Calculations!$G$2:$H$6,2)</f>
        <v>5314</v>
      </c>
      <c r="B666" t="s">
        <v>6</v>
      </c>
      <c r="C666" t="s">
        <v>19</v>
      </c>
      <c r="D666" t="s">
        <v>15</v>
      </c>
      <c r="E666" t="s">
        <v>26</v>
      </c>
      <c r="F666">
        <v>0</v>
      </c>
      <c r="G666">
        <v>0</v>
      </c>
      <c r="H666">
        <f t="shared" si="40"/>
        <v>0</v>
      </c>
      <c r="I666">
        <v>0</v>
      </c>
      <c r="J666">
        <f t="shared" si="41"/>
        <v>0</v>
      </c>
      <c r="K666">
        <v>0</v>
      </c>
      <c r="L666">
        <f t="shared" si="42"/>
        <v>0</v>
      </c>
      <c r="M666">
        <v>0</v>
      </c>
      <c r="N666">
        <f t="shared" si="43"/>
        <v>0</v>
      </c>
    </row>
    <row r="667" spans="1:14" x14ac:dyDescent="0.25">
      <c r="A667">
        <f>VLOOKUP(B667,Calculations!$A$2:$B$10,2)+VLOOKUP(C667,Calculations!$C$2:$D$7,2)+VLOOKUP(D667,Calculations!$E$2:$F$6,2)+VLOOKUP(E667,Calculations!$G$2:$H$6,2)</f>
        <v>5321</v>
      </c>
      <c r="B667" t="s">
        <v>7</v>
      </c>
      <c r="C667" t="s">
        <v>19</v>
      </c>
      <c r="D667" t="s">
        <v>54</v>
      </c>
      <c r="E667" t="s">
        <v>26</v>
      </c>
      <c r="F667">
        <v>1</v>
      </c>
      <c r="G667">
        <v>1</v>
      </c>
      <c r="H667">
        <f t="shared" si="40"/>
        <v>5321</v>
      </c>
      <c r="I667">
        <v>1</v>
      </c>
      <c r="J667">
        <f t="shared" si="41"/>
        <v>5321</v>
      </c>
      <c r="K667">
        <v>0</v>
      </c>
      <c r="L667">
        <f t="shared" si="42"/>
        <v>0</v>
      </c>
      <c r="M667">
        <v>0</v>
      </c>
      <c r="N667">
        <f t="shared" si="43"/>
        <v>0</v>
      </c>
    </row>
    <row r="668" spans="1:14" x14ac:dyDescent="0.25">
      <c r="A668">
        <f>VLOOKUP(B668,Calculations!$A$2:$B$10,2)+VLOOKUP(C668,Calculations!$C$2:$D$7,2)+VLOOKUP(D668,Calculations!$E$2:$F$6,2)+VLOOKUP(E668,Calculations!$G$2:$H$6,2)</f>
        <v>5322</v>
      </c>
      <c r="B668" t="s">
        <v>7</v>
      </c>
      <c r="C668" t="s">
        <v>19</v>
      </c>
      <c r="D668" t="s">
        <v>13</v>
      </c>
      <c r="E668" t="s">
        <v>26</v>
      </c>
      <c r="F668">
        <v>1</v>
      </c>
      <c r="G668">
        <v>1</v>
      </c>
      <c r="H668">
        <f t="shared" si="40"/>
        <v>5322</v>
      </c>
      <c r="I668">
        <v>1</v>
      </c>
      <c r="J668">
        <f t="shared" si="41"/>
        <v>5322</v>
      </c>
      <c r="K668">
        <v>0</v>
      </c>
      <c r="L668">
        <f t="shared" si="42"/>
        <v>0</v>
      </c>
      <c r="M668">
        <v>0</v>
      </c>
      <c r="N668">
        <f t="shared" si="43"/>
        <v>0</v>
      </c>
    </row>
    <row r="669" spans="1:14" x14ac:dyDescent="0.25">
      <c r="A669">
        <f>VLOOKUP(B669,Calculations!$A$2:$B$10,2)+VLOOKUP(C669,Calculations!$C$2:$D$7,2)+VLOOKUP(D669,Calculations!$E$2:$F$6,2)+VLOOKUP(E669,Calculations!$G$2:$H$6,2)</f>
        <v>5323</v>
      </c>
      <c r="B669" t="s">
        <v>7</v>
      </c>
      <c r="C669" t="s">
        <v>19</v>
      </c>
      <c r="D669" t="s">
        <v>14</v>
      </c>
      <c r="E669" t="s">
        <v>26</v>
      </c>
      <c r="F669">
        <v>1</v>
      </c>
      <c r="G669">
        <v>1</v>
      </c>
      <c r="H669">
        <f t="shared" si="40"/>
        <v>5323</v>
      </c>
      <c r="I669">
        <v>1</v>
      </c>
      <c r="J669">
        <f t="shared" si="41"/>
        <v>5323</v>
      </c>
      <c r="K669">
        <v>0</v>
      </c>
      <c r="L669">
        <f t="shared" si="42"/>
        <v>0</v>
      </c>
      <c r="M669">
        <v>0</v>
      </c>
      <c r="N669">
        <f t="shared" si="43"/>
        <v>0</v>
      </c>
    </row>
    <row r="670" spans="1:14" x14ac:dyDescent="0.25">
      <c r="A670">
        <f>VLOOKUP(B670,Calculations!$A$2:$B$10,2)+VLOOKUP(C670,Calculations!$C$2:$D$7,2)+VLOOKUP(D670,Calculations!$E$2:$F$6,2)+VLOOKUP(E670,Calculations!$G$2:$H$6,2)</f>
        <v>5324</v>
      </c>
      <c r="B670" t="s">
        <v>7</v>
      </c>
      <c r="C670" t="s">
        <v>19</v>
      </c>
      <c r="D670" t="s">
        <v>15</v>
      </c>
      <c r="E670" t="s">
        <v>26</v>
      </c>
      <c r="F670">
        <v>1</v>
      </c>
      <c r="G670">
        <v>1</v>
      </c>
      <c r="H670">
        <f t="shared" si="40"/>
        <v>5324</v>
      </c>
      <c r="I670">
        <v>1</v>
      </c>
      <c r="J670">
        <f t="shared" si="41"/>
        <v>5324</v>
      </c>
      <c r="K670">
        <v>0</v>
      </c>
      <c r="L670">
        <f t="shared" si="42"/>
        <v>0</v>
      </c>
      <c r="M670">
        <v>0</v>
      </c>
      <c r="N670">
        <f t="shared" si="43"/>
        <v>0</v>
      </c>
    </row>
    <row r="671" spans="1:14" x14ac:dyDescent="0.25">
      <c r="A671">
        <f>VLOOKUP(B671,Calculations!$A$2:$B$10,2)+VLOOKUP(C671,Calculations!$C$2:$D$7,2)+VLOOKUP(D671,Calculations!$E$2:$F$6,2)+VLOOKUP(E671,Calculations!$G$2:$H$6,2)</f>
        <v>5331</v>
      </c>
      <c r="B671" t="s">
        <v>53</v>
      </c>
      <c r="C671" t="s">
        <v>19</v>
      </c>
      <c r="D671" t="s">
        <v>54</v>
      </c>
      <c r="E671" t="s">
        <v>26</v>
      </c>
      <c r="F671">
        <v>1</v>
      </c>
      <c r="G671">
        <v>1</v>
      </c>
      <c r="H671">
        <f t="shared" si="40"/>
        <v>5331</v>
      </c>
      <c r="I671">
        <v>1</v>
      </c>
      <c r="J671">
        <f t="shared" si="41"/>
        <v>5331</v>
      </c>
      <c r="K671">
        <v>0</v>
      </c>
      <c r="L671">
        <f t="shared" si="42"/>
        <v>0</v>
      </c>
      <c r="M671">
        <v>0</v>
      </c>
      <c r="N671">
        <f t="shared" si="43"/>
        <v>0</v>
      </c>
    </row>
    <row r="672" spans="1:14" x14ac:dyDescent="0.25">
      <c r="A672">
        <f>VLOOKUP(B672,Calculations!$A$2:$B$10,2)+VLOOKUP(C672,Calculations!$C$2:$D$7,2)+VLOOKUP(D672,Calculations!$E$2:$F$6,2)+VLOOKUP(E672,Calculations!$G$2:$H$6,2)</f>
        <v>5332</v>
      </c>
      <c r="B672" t="s">
        <v>53</v>
      </c>
      <c r="C672" t="s">
        <v>19</v>
      </c>
      <c r="D672" t="s">
        <v>13</v>
      </c>
      <c r="E672" t="s">
        <v>26</v>
      </c>
      <c r="F672">
        <v>1</v>
      </c>
      <c r="G672">
        <v>1</v>
      </c>
      <c r="H672">
        <f t="shared" si="40"/>
        <v>5332</v>
      </c>
      <c r="I672">
        <v>1</v>
      </c>
      <c r="J672">
        <f t="shared" si="41"/>
        <v>5332</v>
      </c>
      <c r="K672">
        <v>0</v>
      </c>
      <c r="L672">
        <f t="shared" si="42"/>
        <v>0</v>
      </c>
      <c r="M672">
        <v>0</v>
      </c>
      <c r="N672">
        <f t="shared" si="43"/>
        <v>0</v>
      </c>
    </row>
    <row r="673" spans="1:14" x14ac:dyDescent="0.25">
      <c r="A673">
        <f>VLOOKUP(B673,Calculations!$A$2:$B$10,2)+VLOOKUP(C673,Calculations!$C$2:$D$7,2)+VLOOKUP(D673,Calculations!$E$2:$F$6,2)+VLOOKUP(E673,Calculations!$G$2:$H$6,2)</f>
        <v>5333</v>
      </c>
      <c r="B673" t="s">
        <v>53</v>
      </c>
      <c r="C673" t="s">
        <v>19</v>
      </c>
      <c r="D673" t="s">
        <v>14</v>
      </c>
      <c r="E673" t="s">
        <v>26</v>
      </c>
      <c r="F673">
        <v>1</v>
      </c>
      <c r="G673">
        <v>1</v>
      </c>
      <c r="H673">
        <f t="shared" si="40"/>
        <v>5333</v>
      </c>
      <c r="I673">
        <v>1</v>
      </c>
      <c r="J673">
        <f t="shared" si="41"/>
        <v>5333</v>
      </c>
      <c r="K673">
        <v>0</v>
      </c>
      <c r="L673">
        <f t="shared" si="42"/>
        <v>0</v>
      </c>
      <c r="M673">
        <v>0</v>
      </c>
      <c r="N673">
        <f t="shared" si="43"/>
        <v>0</v>
      </c>
    </row>
    <row r="674" spans="1:14" x14ac:dyDescent="0.25">
      <c r="A674">
        <f>VLOOKUP(B674,Calculations!$A$2:$B$10,2)+VLOOKUP(C674,Calculations!$C$2:$D$7,2)+VLOOKUP(D674,Calculations!$E$2:$F$6,2)+VLOOKUP(E674,Calculations!$G$2:$H$6,2)</f>
        <v>5334</v>
      </c>
      <c r="B674" t="s">
        <v>53</v>
      </c>
      <c r="C674" t="s">
        <v>19</v>
      </c>
      <c r="D674" t="s">
        <v>15</v>
      </c>
      <c r="E674" t="s">
        <v>26</v>
      </c>
      <c r="F674">
        <v>1</v>
      </c>
      <c r="G674">
        <v>1</v>
      </c>
      <c r="H674">
        <f t="shared" si="40"/>
        <v>5334</v>
      </c>
      <c r="I674">
        <v>1</v>
      </c>
      <c r="J674">
        <f t="shared" si="41"/>
        <v>5334</v>
      </c>
      <c r="K674">
        <v>0</v>
      </c>
      <c r="L674">
        <f t="shared" si="42"/>
        <v>0</v>
      </c>
      <c r="M674">
        <v>0</v>
      </c>
      <c r="N674">
        <f t="shared" si="43"/>
        <v>0</v>
      </c>
    </row>
    <row r="675" spans="1:14" x14ac:dyDescent="0.25">
      <c r="A675">
        <f>VLOOKUP(B675,Calculations!$A$2:$B$10,2)+VLOOKUP(C675,Calculations!$C$2:$D$7,2)+VLOOKUP(D675,Calculations!$E$2:$F$6,2)+VLOOKUP(E675,Calculations!$G$2:$H$6,2)</f>
        <v>5341</v>
      </c>
      <c r="B675" t="s">
        <v>9</v>
      </c>
      <c r="C675" t="s">
        <v>19</v>
      </c>
      <c r="D675" t="s">
        <v>54</v>
      </c>
      <c r="E675" t="s">
        <v>26</v>
      </c>
      <c r="F675">
        <v>1</v>
      </c>
      <c r="G675">
        <v>1</v>
      </c>
      <c r="H675">
        <f t="shared" si="40"/>
        <v>5341</v>
      </c>
      <c r="I675">
        <v>1</v>
      </c>
      <c r="J675">
        <f t="shared" si="41"/>
        <v>5341</v>
      </c>
      <c r="K675">
        <v>0</v>
      </c>
      <c r="L675">
        <f t="shared" si="42"/>
        <v>0</v>
      </c>
      <c r="M675">
        <v>0</v>
      </c>
      <c r="N675">
        <f t="shared" si="43"/>
        <v>0</v>
      </c>
    </row>
    <row r="676" spans="1:14" x14ac:dyDescent="0.25">
      <c r="A676">
        <f>VLOOKUP(B676,Calculations!$A$2:$B$10,2)+VLOOKUP(C676,Calculations!$C$2:$D$7,2)+VLOOKUP(D676,Calculations!$E$2:$F$6,2)+VLOOKUP(E676,Calculations!$G$2:$H$6,2)</f>
        <v>5342</v>
      </c>
      <c r="B676" t="s">
        <v>9</v>
      </c>
      <c r="C676" t="s">
        <v>19</v>
      </c>
      <c r="D676" t="s">
        <v>13</v>
      </c>
      <c r="E676" t="s">
        <v>26</v>
      </c>
      <c r="F676">
        <v>0</v>
      </c>
      <c r="G676">
        <v>0</v>
      </c>
      <c r="H676">
        <f t="shared" si="40"/>
        <v>0</v>
      </c>
      <c r="I676">
        <v>0</v>
      </c>
      <c r="J676">
        <f t="shared" si="41"/>
        <v>0</v>
      </c>
      <c r="K676">
        <v>0</v>
      </c>
      <c r="L676">
        <f t="shared" si="42"/>
        <v>0</v>
      </c>
      <c r="M676">
        <v>0</v>
      </c>
      <c r="N676">
        <f t="shared" si="43"/>
        <v>0</v>
      </c>
    </row>
    <row r="677" spans="1:14" x14ac:dyDescent="0.25">
      <c r="A677">
        <f>VLOOKUP(B677,Calculations!$A$2:$B$10,2)+VLOOKUP(C677,Calculations!$C$2:$D$7,2)+VLOOKUP(D677,Calculations!$E$2:$F$6,2)+VLOOKUP(E677,Calculations!$G$2:$H$6,2)</f>
        <v>5343</v>
      </c>
      <c r="B677" t="s">
        <v>9</v>
      </c>
      <c r="C677" t="s">
        <v>19</v>
      </c>
      <c r="D677" t="s">
        <v>14</v>
      </c>
      <c r="E677" t="s">
        <v>26</v>
      </c>
      <c r="F677">
        <v>0</v>
      </c>
      <c r="G677">
        <v>0</v>
      </c>
      <c r="H677">
        <f t="shared" si="40"/>
        <v>0</v>
      </c>
      <c r="I677">
        <v>0</v>
      </c>
      <c r="J677">
        <f t="shared" si="41"/>
        <v>0</v>
      </c>
      <c r="K677">
        <v>0</v>
      </c>
      <c r="L677">
        <f t="shared" si="42"/>
        <v>0</v>
      </c>
      <c r="M677">
        <v>0</v>
      </c>
      <c r="N677">
        <f t="shared" si="43"/>
        <v>0</v>
      </c>
    </row>
    <row r="678" spans="1:14" x14ac:dyDescent="0.25">
      <c r="A678">
        <f>VLOOKUP(B678,Calculations!$A$2:$B$10,2)+VLOOKUP(C678,Calculations!$C$2:$D$7,2)+VLOOKUP(D678,Calculations!$E$2:$F$6,2)+VLOOKUP(E678,Calculations!$G$2:$H$6,2)</f>
        <v>5344</v>
      </c>
      <c r="B678" t="s">
        <v>9</v>
      </c>
      <c r="C678" t="s">
        <v>19</v>
      </c>
      <c r="D678" t="s">
        <v>15</v>
      </c>
      <c r="E678" t="s">
        <v>26</v>
      </c>
      <c r="F678">
        <v>0</v>
      </c>
      <c r="G678">
        <v>0</v>
      </c>
      <c r="H678">
        <f t="shared" si="40"/>
        <v>0</v>
      </c>
      <c r="I678">
        <v>0</v>
      </c>
      <c r="J678">
        <f t="shared" si="41"/>
        <v>0</v>
      </c>
      <c r="K678">
        <v>0</v>
      </c>
      <c r="L678">
        <f t="shared" si="42"/>
        <v>0</v>
      </c>
      <c r="M678">
        <v>0</v>
      </c>
      <c r="N678">
        <f t="shared" si="43"/>
        <v>0</v>
      </c>
    </row>
    <row r="679" spans="1:14" x14ac:dyDescent="0.25">
      <c r="A679">
        <f>VLOOKUP(B679,Calculations!$A$2:$B$10,2)+VLOOKUP(C679,Calculations!$C$2:$D$7,2)+VLOOKUP(D679,Calculations!$E$2:$F$6,2)+VLOOKUP(E679,Calculations!$G$2:$H$6,2)</f>
        <v>5351</v>
      </c>
      <c r="B679" t="s">
        <v>50</v>
      </c>
      <c r="C679" t="s">
        <v>19</v>
      </c>
      <c r="D679" t="s">
        <v>54</v>
      </c>
      <c r="E679" t="s">
        <v>26</v>
      </c>
      <c r="F679">
        <v>1</v>
      </c>
      <c r="G679">
        <v>1</v>
      </c>
      <c r="H679">
        <f t="shared" si="40"/>
        <v>5351</v>
      </c>
      <c r="I679">
        <v>1</v>
      </c>
      <c r="J679">
        <f t="shared" si="41"/>
        <v>5351</v>
      </c>
      <c r="K679">
        <v>0</v>
      </c>
      <c r="L679">
        <f t="shared" si="42"/>
        <v>0</v>
      </c>
      <c r="M679">
        <v>0</v>
      </c>
      <c r="N679">
        <f t="shared" si="43"/>
        <v>0</v>
      </c>
    </row>
    <row r="680" spans="1:14" x14ac:dyDescent="0.25">
      <c r="A680">
        <f>VLOOKUP(B680,Calculations!$A$2:$B$10,2)+VLOOKUP(C680,Calculations!$C$2:$D$7,2)+VLOOKUP(D680,Calculations!$E$2:$F$6,2)+VLOOKUP(E680,Calculations!$G$2:$H$6,2)</f>
        <v>5352</v>
      </c>
      <c r="B680" t="s">
        <v>50</v>
      </c>
      <c r="C680" t="s">
        <v>19</v>
      </c>
      <c r="D680" t="s">
        <v>13</v>
      </c>
      <c r="E680" t="s">
        <v>26</v>
      </c>
      <c r="F680">
        <v>1</v>
      </c>
      <c r="G680">
        <v>1</v>
      </c>
      <c r="H680">
        <f t="shared" si="40"/>
        <v>5352</v>
      </c>
      <c r="I680">
        <v>1</v>
      </c>
      <c r="J680">
        <f t="shared" si="41"/>
        <v>5352</v>
      </c>
      <c r="K680">
        <v>0</v>
      </c>
      <c r="L680">
        <f t="shared" si="42"/>
        <v>0</v>
      </c>
      <c r="M680">
        <v>0</v>
      </c>
      <c r="N680">
        <f t="shared" si="43"/>
        <v>0</v>
      </c>
    </row>
    <row r="681" spans="1:14" x14ac:dyDescent="0.25">
      <c r="A681">
        <f>VLOOKUP(B681,Calculations!$A$2:$B$10,2)+VLOOKUP(C681,Calculations!$C$2:$D$7,2)+VLOOKUP(D681,Calculations!$E$2:$F$6,2)+VLOOKUP(E681,Calculations!$G$2:$H$6,2)</f>
        <v>5353</v>
      </c>
      <c r="B681" t="s">
        <v>50</v>
      </c>
      <c r="C681" t="s">
        <v>19</v>
      </c>
      <c r="D681" t="s">
        <v>14</v>
      </c>
      <c r="E681" t="s">
        <v>26</v>
      </c>
      <c r="F681">
        <v>1</v>
      </c>
      <c r="G681">
        <v>1</v>
      </c>
      <c r="H681">
        <f t="shared" si="40"/>
        <v>5353</v>
      </c>
      <c r="I681">
        <v>1</v>
      </c>
      <c r="J681">
        <f t="shared" si="41"/>
        <v>5353</v>
      </c>
      <c r="K681">
        <v>0</v>
      </c>
      <c r="L681">
        <f t="shared" si="42"/>
        <v>0</v>
      </c>
      <c r="M681">
        <v>0</v>
      </c>
      <c r="N681">
        <f t="shared" si="43"/>
        <v>0</v>
      </c>
    </row>
    <row r="682" spans="1:14" x14ac:dyDescent="0.25">
      <c r="A682">
        <f>VLOOKUP(B682,Calculations!$A$2:$B$10,2)+VLOOKUP(C682,Calculations!$C$2:$D$7,2)+VLOOKUP(D682,Calculations!$E$2:$F$6,2)+VLOOKUP(E682,Calculations!$G$2:$H$6,2)</f>
        <v>5354</v>
      </c>
      <c r="B682" t="s">
        <v>50</v>
      </c>
      <c r="C682" t="s">
        <v>19</v>
      </c>
      <c r="D682" t="s">
        <v>15</v>
      </c>
      <c r="E682" t="s">
        <v>26</v>
      </c>
      <c r="F682">
        <v>1</v>
      </c>
      <c r="G682">
        <v>1</v>
      </c>
      <c r="H682">
        <f t="shared" si="40"/>
        <v>5354</v>
      </c>
      <c r="I682">
        <v>1</v>
      </c>
      <c r="J682">
        <f t="shared" si="41"/>
        <v>5354</v>
      </c>
      <c r="K682">
        <v>0</v>
      </c>
      <c r="L682">
        <f t="shared" si="42"/>
        <v>0</v>
      </c>
      <c r="M682">
        <v>0</v>
      </c>
      <c r="N682">
        <f t="shared" si="43"/>
        <v>0</v>
      </c>
    </row>
    <row r="683" spans="1:14" x14ac:dyDescent="0.25">
      <c r="A683">
        <f>VLOOKUP(B683,Calculations!$A$2:$B$10,2)+VLOOKUP(C683,Calculations!$C$2:$D$7,2)+VLOOKUP(D683,Calculations!$E$2:$F$6,2)+VLOOKUP(E683,Calculations!$G$2:$H$6,2)</f>
        <v>5361</v>
      </c>
      <c r="B683" t="s">
        <v>51</v>
      </c>
      <c r="C683" t="s">
        <v>19</v>
      </c>
      <c r="D683" t="s">
        <v>54</v>
      </c>
      <c r="E683" t="s">
        <v>26</v>
      </c>
      <c r="F683">
        <v>1</v>
      </c>
      <c r="G683">
        <v>0</v>
      </c>
      <c r="H683">
        <f t="shared" si="40"/>
        <v>0</v>
      </c>
      <c r="I683">
        <v>1</v>
      </c>
      <c r="J683">
        <f t="shared" si="41"/>
        <v>5361</v>
      </c>
      <c r="K683">
        <v>0</v>
      </c>
      <c r="L683">
        <f t="shared" si="42"/>
        <v>0</v>
      </c>
      <c r="M683">
        <v>0</v>
      </c>
      <c r="N683">
        <f t="shared" si="43"/>
        <v>0</v>
      </c>
    </row>
    <row r="684" spans="1:14" x14ac:dyDescent="0.25">
      <c r="A684">
        <f>VLOOKUP(B684,Calculations!$A$2:$B$10,2)+VLOOKUP(C684,Calculations!$C$2:$D$7,2)+VLOOKUP(D684,Calculations!$E$2:$F$6,2)+VLOOKUP(E684,Calculations!$G$2:$H$6,2)</f>
        <v>5362</v>
      </c>
      <c r="B684" t="s">
        <v>51</v>
      </c>
      <c r="C684" t="s">
        <v>19</v>
      </c>
      <c r="D684" t="s">
        <v>13</v>
      </c>
      <c r="E684" t="s">
        <v>26</v>
      </c>
      <c r="F684">
        <v>1</v>
      </c>
      <c r="G684">
        <v>0</v>
      </c>
      <c r="H684">
        <f t="shared" si="40"/>
        <v>0</v>
      </c>
      <c r="I684">
        <v>1</v>
      </c>
      <c r="J684">
        <f t="shared" si="41"/>
        <v>5362</v>
      </c>
      <c r="K684">
        <v>0</v>
      </c>
      <c r="L684">
        <f t="shared" si="42"/>
        <v>0</v>
      </c>
      <c r="M684">
        <v>0</v>
      </c>
      <c r="N684">
        <f t="shared" si="43"/>
        <v>0</v>
      </c>
    </row>
    <row r="685" spans="1:14" x14ac:dyDescent="0.25">
      <c r="A685">
        <f>VLOOKUP(B685,Calculations!$A$2:$B$10,2)+VLOOKUP(C685,Calculations!$C$2:$D$7,2)+VLOOKUP(D685,Calculations!$E$2:$F$6,2)+VLOOKUP(E685,Calculations!$G$2:$H$6,2)</f>
        <v>5363</v>
      </c>
      <c r="B685" t="s">
        <v>51</v>
      </c>
      <c r="C685" t="s">
        <v>19</v>
      </c>
      <c r="D685" t="s">
        <v>14</v>
      </c>
      <c r="E685" t="s">
        <v>26</v>
      </c>
      <c r="F685">
        <v>1</v>
      </c>
      <c r="G685">
        <v>0</v>
      </c>
      <c r="H685">
        <f t="shared" si="40"/>
        <v>0</v>
      </c>
      <c r="I685">
        <v>1</v>
      </c>
      <c r="J685">
        <f t="shared" si="41"/>
        <v>5363</v>
      </c>
      <c r="K685">
        <v>0</v>
      </c>
      <c r="L685">
        <f t="shared" si="42"/>
        <v>0</v>
      </c>
      <c r="M685">
        <v>0</v>
      </c>
      <c r="N685">
        <f t="shared" si="43"/>
        <v>0</v>
      </c>
    </row>
    <row r="686" spans="1:14" x14ac:dyDescent="0.25">
      <c r="A686">
        <f>VLOOKUP(B686,Calculations!$A$2:$B$10,2)+VLOOKUP(C686,Calculations!$C$2:$D$7,2)+VLOOKUP(D686,Calculations!$E$2:$F$6,2)+VLOOKUP(E686,Calculations!$G$2:$H$6,2)</f>
        <v>5364</v>
      </c>
      <c r="B686" t="s">
        <v>51</v>
      </c>
      <c r="C686" t="s">
        <v>19</v>
      </c>
      <c r="D686" t="s">
        <v>15</v>
      </c>
      <c r="E686" t="s">
        <v>26</v>
      </c>
      <c r="F686">
        <v>1</v>
      </c>
      <c r="G686">
        <v>0</v>
      </c>
      <c r="H686">
        <f t="shared" si="40"/>
        <v>0</v>
      </c>
      <c r="I686">
        <v>1</v>
      </c>
      <c r="J686">
        <f t="shared" si="41"/>
        <v>5364</v>
      </c>
      <c r="K686">
        <v>0</v>
      </c>
      <c r="L686">
        <f t="shared" si="42"/>
        <v>0</v>
      </c>
      <c r="M686">
        <v>0</v>
      </c>
      <c r="N686">
        <f t="shared" si="43"/>
        <v>0</v>
      </c>
    </row>
    <row r="687" spans="1:14" x14ac:dyDescent="0.25">
      <c r="A687">
        <f>VLOOKUP(B687,Calculations!$A$2:$B$10,2)+VLOOKUP(C687,Calculations!$C$2:$D$7,2)+VLOOKUP(D687,Calculations!$E$2:$F$6,2)+VLOOKUP(E687,Calculations!$G$2:$H$6,2)</f>
        <v>5371</v>
      </c>
      <c r="B687" t="s">
        <v>52</v>
      </c>
      <c r="C687" t="s">
        <v>19</v>
      </c>
      <c r="D687" t="s">
        <v>54</v>
      </c>
      <c r="E687" t="s">
        <v>26</v>
      </c>
      <c r="F687">
        <v>1</v>
      </c>
      <c r="G687">
        <v>1</v>
      </c>
      <c r="H687">
        <f t="shared" si="40"/>
        <v>5371</v>
      </c>
      <c r="I687">
        <v>1</v>
      </c>
      <c r="J687">
        <f t="shared" si="41"/>
        <v>5371</v>
      </c>
      <c r="K687">
        <v>0</v>
      </c>
      <c r="L687">
        <f t="shared" si="42"/>
        <v>0</v>
      </c>
      <c r="M687">
        <v>0</v>
      </c>
      <c r="N687">
        <f t="shared" si="43"/>
        <v>0</v>
      </c>
    </row>
    <row r="688" spans="1:14" x14ac:dyDescent="0.25">
      <c r="A688">
        <f>VLOOKUP(B688,Calculations!$A$2:$B$10,2)+VLOOKUP(C688,Calculations!$C$2:$D$7,2)+VLOOKUP(D688,Calculations!$E$2:$F$6,2)+VLOOKUP(E688,Calculations!$G$2:$H$6,2)</f>
        <v>5372</v>
      </c>
      <c r="B688" t="s">
        <v>52</v>
      </c>
      <c r="C688" t="s">
        <v>19</v>
      </c>
      <c r="D688" t="s">
        <v>13</v>
      </c>
      <c r="E688" t="s">
        <v>26</v>
      </c>
      <c r="F688">
        <v>1</v>
      </c>
      <c r="G688">
        <v>1</v>
      </c>
      <c r="H688">
        <f t="shared" si="40"/>
        <v>5372</v>
      </c>
      <c r="I688">
        <v>1</v>
      </c>
      <c r="J688">
        <f t="shared" si="41"/>
        <v>5372</v>
      </c>
      <c r="K688">
        <v>0</v>
      </c>
      <c r="L688">
        <f t="shared" si="42"/>
        <v>0</v>
      </c>
      <c r="M688">
        <v>0</v>
      </c>
      <c r="N688">
        <f t="shared" si="43"/>
        <v>0</v>
      </c>
    </row>
    <row r="689" spans="1:14" x14ac:dyDescent="0.25">
      <c r="A689">
        <f>VLOOKUP(B689,Calculations!$A$2:$B$10,2)+VLOOKUP(C689,Calculations!$C$2:$D$7,2)+VLOOKUP(D689,Calculations!$E$2:$F$6,2)+VLOOKUP(E689,Calculations!$G$2:$H$6,2)</f>
        <v>5373</v>
      </c>
      <c r="B689" t="s">
        <v>52</v>
      </c>
      <c r="C689" t="s">
        <v>19</v>
      </c>
      <c r="D689" t="s">
        <v>14</v>
      </c>
      <c r="E689" t="s">
        <v>26</v>
      </c>
      <c r="F689">
        <v>1</v>
      </c>
      <c r="G689">
        <v>1</v>
      </c>
      <c r="H689">
        <f t="shared" si="40"/>
        <v>5373</v>
      </c>
      <c r="I689">
        <v>1</v>
      </c>
      <c r="J689">
        <f t="shared" si="41"/>
        <v>5373</v>
      </c>
      <c r="K689">
        <v>0</v>
      </c>
      <c r="L689">
        <f t="shared" si="42"/>
        <v>0</v>
      </c>
      <c r="M689">
        <v>0</v>
      </c>
      <c r="N689">
        <f t="shared" si="43"/>
        <v>0</v>
      </c>
    </row>
    <row r="690" spans="1:14" x14ac:dyDescent="0.25">
      <c r="A690">
        <f>VLOOKUP(B690,Calculations!$A$2:$B$10,2)+VLOOKUP(C690,Calculations!$C$2:$D$7,2)+VLOOKUP(D690,Calculations!$E$2:$F$6,2)+VLOOKUP(E690,Calculations!$G$2:$H$6,2)</f>
        <v>5374</v>
      </c>
      <c r="B690" t="s">
        <v>52</v>
      </c>
      <c r="C690" t="s">
        <v>19</v>
      </c>
      <c r="D690" t="s">
        <v>15</v>
      </c>
      <c r="E690" t="s">
        <v>26</v>
      </c>
      <c r="F690">
        <v>1</v>
      </c>
      <c r="G690">
        <v>1</v>
      </c>
      <c r="H690">
        <f t="shared" si="40"/>
        <v>5374</v>
      </c>
      <c r="I690">
        <v>1</v>
      </c>
      <c r="J690">
        <f t="shared" si="41"/>
        <v>5374</v>
      </c>
      <c r="K690">
        <v>0</v>
      </c>
      <c r="L690">
        <f t="shared" si="42"/>
        <v>0</v>
      </c>
      <c r="M690">
        <v>0</v>
      </c>
      <c r="N690">
        <f t="shared" si="43"/>
        <v>0</v>
      </c>
    </row>
    <row r="691" spans="1:14" x14ac:dyDescent="0.25">
      <c r="A691">
        <f>VLOOKUP(B691,Calculations!$A$2:$B$10,2)+VLOOKUP(C691,Calculations!$C$2:$D$7,2)+VLOOKUP(D691,Calculations!$E$2:$F$6,2)+VLOOKUP(E691,Calculations!$G$2:$H$6,2)</f>
        <v>5381</v>
      </c>
      <c r="B691" t="s">
        <v>8</v>
      </c>
      <c r="C691" t="s">
        <v>19</v>
      </c>
      <c r="D691" t="s">
        <v>54</v>
      </c>
      <c r="E691" t="s">
        <v>26</v>
      </c>
      <c r="F691">
        <v>1</v>
      </c>
      <c r="G691">
        <v>1</v>
      </c>
      <c r="H691">
        <f t="shared" si="40"/>
        <v>5381</v>
      </c>
      <c r="I691">
        <v>0</v>
      </c>
      <c r="J691">
        <f t="shared" si="41"/>
        <v>0</v>
      </c>
      <c r="K691">
        <v>0</v>
      </c>
      <c r="L691">
        <f t="shared" si="42"/>
        <v>0</v>
      </c>
      <c r="M691">
        <v>0</v>
      </c>
      <c r="N691">
        <f t="shared" si="43"/>
        <v>0</v>
      </c>
    </row>
    <row r="692" spans="1:14" x14ac:dyDescent="0.25">
      <c r="A692">
        <f>VLOOKUP(B692,Calculations!$A$2:$B$10,2)+VLOOKUP(C692,Calculations!$C$2:$D$7,2)+VLOOKUP(D692,Calculations!$E$2:$F$6,2)+VLOOKUP(E692,Calculations!$G$2:$H$6,2)</f>
        <v>5382</v>
      </c>
      <c r="B692" t="s">
        <v>8</v>
      </c>
      <c r="C692" t="s">
        <v>19</v>
      </c>
      <c r="D692" t="s">
        <v>13</v>
      </c>
      <c r="E692" t="s">
        <v>26</v>
      </c>
      <c r="F692">
        <v>1</v>
      </c>
      <c r="G692">
        <v>1</v>
      </c>
      <c r="H692">
        <f t="shared" si="40"/>
        <v>5382</v>
      </c>
      <c r="I692">
        <v>0</v>
      </c>
      <c r="J692">
        <f t="shared" si="41"/>
        <v>0</v>
      </c>
      <c r="K692">
        <v>0</v>
      </c>
      <c r="L692">
        <f t="shared" si="42"/>
        <v>0</v>
      </c>
      <c r="M692">
        <v>0</v>
      </c>
      <c r="N692">
        <f t="shared" si="43"/>
        <v>0</v>
      </c>
    </row>
    <row r="693" spans="1:14" x14ac:dyDescent="0.25">
      <c r="A693">
        <f>VLOOKUP(B693,Calculations!$A$2:$B$10,2)+VLOOKUP(C693,Calculations!$C$2:$D$7,2)+VLOOKUP(D693,Calculations!$E$2:$F$6,2)+VLOOKUP(E693,Calculations!$G$2:$H$6,2)</f>
        <v>5383</v>
      </c>
      <c r="B693" t="s">
        <v>8</v>
      </c>
      <c r="C693" t="s">
        <v>19</v>
      </c>
      <c r="D693" t="s">
        <v>14</v>
      </c>
      <c r="E693" t="s">
        <v>26</v>
      </c>
      <c r="F693">
        <v>1</v>
      </c>
      <c r="G693">
        <v>1</v>
      </c>
      <c r="H693">
        <f t="shared" si="40"/>
        <v>5383</v>
      </c>
      <c r="I693">
        <v>0</v>
      </c>
      <c r="J693">
        <f t="shared" si="41"/>
        <v>0</v>
      </c>
      <c r="K693">
        <v>0</v>
      </c>
      <c r="L693">
        <f t="shared" si="42"/>
        <v>0</v>
      </c>
      <c r="M693">
        <v>0</v>
      </c>
      <c r="N693">
        <f t="shared" si="43"/>
        <v>0</v>
      </c>
    </row>
    <row r="694" spans="1:14" x14ac:dyDescent="0.25">
      <c r="A694">
        <f>VLOOKUP(B694,Calculations!$A$2:$B$10,2)+VLOOKUP(C694,Calculations!$C$2:$D$7,2)+VLOOKUP(D694,Calculations!$E$2:$F$6,2)+VLOOKUP(E694,Calculations!$G$2:$H$6,2)</f>
        <v>5384</v>
      </c>
      <c r="B694" t="s">
        <v>8</v>
      </c>
      <c r="C694" t="s">
        <v>19</v>
      </c>
      <c r="D694" t="s">
        <v>15</v>
      </c>
      <c r="E694" t="s">
        <v>26</v>
      </c>
      <c r="F694">
        <v>1</v>
      </c>
      <c r="G694">
        <v>1</v>
      </c>
      <c r="H694">
        <f t="shared" si="40"/>
        <v>5384</v>
      </c>
      <c r="I694">
        <v>0</v>
      </c>
      <c r="J694">
        <f t="shared" si="41"/>
        <v>0</v>
      </c>
      <c r="K694">
        <v>0</v>
      </c>
      <c r="L694">
        <f t="shared" si="42"/>
        <v>0</v>
      </c>
      <c r="M694">
        <v>0</v>
      </c>
      <c r="N694">
        <f t="shared" si="43"/>
        <v>0</v>
      </c>
    </row>
    <row r="695" spans="1:14" x14ac:dyDescent="0.25">
      <c r="A695">
        <f>VLOOKUP(B695,Calculations!$A$2:$B$10,2)+VLOOKUP(C695,Calculations!$C$2:$D$7,2)+VLOOKUP(D695,Calculations!$E$2:$F$6,2)+VLOOKUP(E695,Calculations!$G$2:$H$6,2)</f>
        <v>5401</v>
      </c>
      <c r="B695" t="s">
        <v>5</v>
      </c>
      <c r="C695" t="s">
        <v>19</v>
      </c>
      <c r="D695" t="s">
        <v>54</v>
      </c>
      <c r="E695" t="s">
        <v>27</v>
      </c>
      <c r="F695">
        <v>1</v>
      </c>
      <c r="G695">
        <v>1</v>
      </c>
      <c r="H695">
        <f t="shared" si="40"/>
        <v>5401</v>
      </c>
      <c r="I695">
        <v>0</v>
      </c>
      <c r="J695">
        <f t="shared" si="41"/>
        <v>0</v>
      </c>
      <c r="K695">
        <v>0</v>
      </c>
      <c r="L695">
        <f t="shared" si="42"/>
        <v>0</v>
      </c>
      <c r="M695">
        <v>0</v>
      </c>
      <c r="N695">
        <f t="shared" si="43"/>
        <v>0</v>
      </c>
    </row>
    <row r="696" spans="1:14" x14ac:dyDescent="0.25">
      <c r="A696">
        <f>VLOOKUP(B696,Calculations!$A$2:$B$10,2)+VLOOKUP(C696,Calculations!$C$2:$D$7,2)+VLOOKUP(D696,Calculations!$E$2:$F$6,2)+VLOOKUP(E696,Calculations!$G$2:$H$6,2)</f>
        <v>5402</v>
      </c>
      <c r="B696" t="s">
        <v>5</v>
      </c>
      <c r="C696" t="s">
        <v>19</v>
      </c>
      <c r="D696" t="s">
        <v>13</v>
      </c>
      <c r="E696" t="s">
        <v>27</v>
      </c>
      <c r="F696">
        <v>1</v>
      </c>
      <c r="G696">
        <v>1</v>
      </c>
      <c r="H696">
        <f t="shared" si="40"/>
        <v>5402</v>
      </c>
      <c r="I696">
        <v>0</v>
      </c>
      <c r="J696">
        <f t="shared" si="41"/>
        <v>0</v>
      </c>
      <c r="K696">
        <v>0</v>
      </c>
      <c r="L696">
        <f t="shared" si="42"/>
        <v>0</v>
      </c>
      <c r="M696">
        <v>0</v>
      </c>
      <c r="N696">
        <f t="shared" si="43"/>
        <v>0</v>
      </c>
    </row>
    <row r="697" spans="1:14" x14ac:dyDescent="0.25">
      <c r="A697">
        <f>VLOOKUP(B697,Calculations!$A$2:$B$10,2)+VLOOKUP(C697,Calculations!$C$2:$D$7,2)+VLOOKUP(D697,Calculations!$E$2:$F$6,2)+VLOOKUP(E697,Calculations!$G$2:$H$6,2)</f>
        <v>5403</v>
      </c>
      <c r="B697" t="s">
        <v>5</v>
      </c>
      <c r="C697" t="s">
        <v>19</v>
      </c>
      <c r="D697" t="s">
        <v>14</v>
      </c>
      <c r="E697" t="s">
        <v>27</v>
      </c>
      <c r="F697">
        <v>1</v>
      </c>
      <c r="G697">
        <v>1</v>
      </c>
      <c r="H697">
        <f t="shared" si="40"/>
        <v>5403</v>
      </c>
      <c r="I697">
        <v>0</v>
      </c>
      <c r="J697">
        <f t="shared" si="41"/>
        <v>0</v>
      </c>
      <c r="K697">
        <v>0</v>
      </c>
      <c r="L697">
        <f t="shared" si="42"/>
        <v>0</v>
      </c>
      <c r="M697">
        <v>0</v>
      </c>
      <c r="N697">
        <f t="shared" si="43"/>
        <v>0</v>
      </c>
    </row>
    <row r="698" spans="1:14" x14ac:dyDescent="0.25">
      <c r="A698">
        <f>VLOOKUP(B698,Calculations!$A$2:$B$10,2)+VLOOKUP(C698,Calculations!$C$2:$D$7,2)+VLOOKUP(D698,Calculations!$E$2:$F$6,2)+VLOOKUP(E698,Calculations!$G$2:$H$6,2)</f>
        <v>5404</v>
      </c>
      <c r="B698" t="s">
        <v>5</v>
      </c>
      <c r="C698" t="s">
        <v>19</v>
      </c>
      <c r="D698" t="s">
        <v>15</v>
      </c>
      <c r="E698" t="s">
        <v>27</v>
      </c>
      <c r="F698">
        <v>0</v>
      </c>
      <c r="G698">
        <v>0</v>
      </c>
      <c r="H698">
        <f t="shared" si="40"/>
        <v>0</v>
      </c>
      <c r="I698">
        <v>0</v>
      </c>
      <c r="J698">
        <f t="shared" si="41"/>
        <v>0</v>
      </c>
      <c r="K698">
        <v>0</v>
      </c>
      <c r="L698">
        <f t="shared" si="42"/>
        <v>0</v>
      </c>
      <c r="M698">
        <v>0</v>
      </c>
      <c r="N698">
        <f t="shared" si="43"/>
        <v>0</v>
      </c>
    </row>
    <row r="699" spans="1:14" x14ac:dyDescent="0.25">
      <c r="A699">
        <f>VLOOKUP(B699,Calculations!$A$2:$B$10,2)+VLOOKUP(C699,Calculations!$C$2:$D$7,2)+VLOOKUP(D699,Calculations!$E$2:$F$6,2)+VLOOKUP(E699,Calculations!$G$2:$H$6,2)</f>
        <v>5411</v>
      </c>
      <c r="B699" t="s">
        <v>6</v>
      </c>
      <c r="C699" t="s">
        <v>19</v>
      </c>
      <c r="D699" t="s">
        <v>54</v>
      </c>
      <c r="E699" t="s">
        <v>27</v>
      </c>
      <c r="F699">
        <v>1</v>
      </c>
      <c r="G699">
        <v>1</v>
      </c>
      <c r="H699">
        <f t="shared" si="40"/>
        <v>5411</v>
      </c>
      <c r="I699">
        <v>0</v>
      </c>
      <c r="J699">
        <f t="shared" si="41"/>
        <v>0</v>
      </c>
      <c r="K699">
        <v>0</v>
      </c>
      <c r="L699">
        <f t="shared" si="42"/>
        <v>0</v>
      </c>
      <c r="M699">
        <v>0</v>
      </c>
      <c r="N699">
        <f t="shared" si="43"/>
        <v>0</v>
      </c>
    </row>
    <row r="700" spans="1:14" x14ac:dyDescent="0.25">
      <c r="A700">
        <f>VLOOKUP(B700,Calculations!$A$2:$B$10,2)+VLOOKUP(C700,Calculations!$C$2:$D$7,2)+VLOOKUP(D700,Calculations!$E$2:$F$6,2)+VLOOKUP(E700,Calculations!$G$2:$H$6,2)</f>
        <v>5412</v>
      </c>
      <c r="B700" t="s">
        <v>6</v>
      </c>
      <c r="C700" t="s">
        <v>19</v>
      </c>
      <c r="D700" t="s">
        <v>13</v>
      </c>
      <c r="E700" t="s">
        <v>27</v>
      </c>
      <c r="F700">
        <v>1</v>
      </c>
      <c r="G700">
        <v>1</v>
      </c>
      <c r="H700">
        <f t="shared" si="40"/>
        <v>5412</v>
      </c>
      <c r="I700">
        <v>0</v>
      </c>
      <c r="J700">
        <f t="shared" si="41"/>
        <v>0</v>
      </c>
      <c r="K700">
        <v>0</v>
      </c>
      <c r="L700">
        <f t="shared" si="42"/>
        <v>0</v>
      </c>
      <c r="M700">
        <v>0</v>
      </c>
      <c r="N700">
        <f t="shared" si="43"/>
        <v>0</v>
      </c>
    </row>
    <row r="701" spans="1:14" x14ac:dyDescent="0.25">
      <c r="A701">
        <f>VLOOKUP(B701,Calculations!$A$2:$B$10,2)+VLOOKUP(C701,Calculations!$C$2:$D$7,2)+VLOOKUP(D701,Calculations!$E$2:$F$6,2)+VLOOKUP(E701,Calculations!$G$2:$H$6,2)</f>
        <v>5413</v>
      </c>
      <c r="B701" t="s">
        <v>6</v>
      </c>
      <c r="C701" t="s">
        <v>19</v>
      </c>
      <c r="D701" t="s">
        <v>14</v>
      </c>
      <c r="E701" t="s">
        <v>27</v>
      </c>
      <c r="F701">
        <v>1</v>
      </c>
      <c r="G701">
        <v>1</v>
      </c>
      <c r="H701">
        <f t="shared" si="40"/>
        <v>5413</v>
      </c>
      <c r="I701">
        <v>0</v>
      </c>
      <c r="J701">
        <f t="shared" si="41"/>
        <v>0</v>
      </c>
      <c r="K701">
        <v>0</v>
      </c>
      <c r="L701">
        <f t="shared" si="42"/>
        <v>0</v>
      </c>
      <c r="M701">
        <v>0</v>
      </c>
      <c r="N701">
        <f t="shared" si="43"/>
        <v>0</v>
      </c>
    </row>
    <row r="702" spans="1:14" x14ac:dyDescent="0.25">
      <c r="A702">
        <f>VLOOKUP(B702,Calculations!$A$2:$B$10,2)+VLOOKUP(C702,Calculations!$C$2:$D$7,2)+VLOOKUP(D702,Calculations!$E$2:$F$6,2)+VLOOKUP(E702,Calculations!$G$2:$H$6,2)</f>
        <v>5414</v>
      </c>
      <c r="B702" t="s">
        <v>6</v>
      </c>
      <c r="C702" t="s">
        <v>19</v>
      </c>
      <c r="D702" t="s">
        <v>15</v>
      </c>
      <c r="E702" t="s">
        <v>27</v>
      </c>
      <c r="F702">
        <v>0</v>
      </c>
      <c r="G702">
        <v>0</v>
      </c>
      <c r="H702">
        <f t="shared" si="40"/>
        <v>0</v>
      </c>
      <c r="I702">
        <v>0</v>
      </c>
      <c r="J702">
        <f t="shared" si="41"/>
        <v>0</v>
      </c>
      <c r="K702">
        <v>0</v>
      </c>
      <c r="L702">
        <f t="shared" si="42"/>
        <v>0</v>
      </c>
      <c r="M702">
        <v>0</v>
      </c>
      <c r="N702">
        <f t="shared" si="43"/>
        <v>0</v>
      </c>
    </row>
    <row r="703" spans="1:14" x14ac:dyDescent="0.25">
      <c r="A703">
        <f>VLOOKUP(B703,Calculations!$A$2:$B$10,2)+VLOOKUP(C703,Calculations!$C$2:$D$7,2)+VLOOKUP(D703,Calculations!$E$2:$F$6,2)+VLOOKUP(E703,Calculations!$G$2:$H$6,2)</f>
        <v>5421</v>
      </c>
      <c r="B703" t="s">
        <v>7</v>
      </c>
      <c r="C703" t="s">
        <v>19</v>
      </c>
      <c r="D703" t="s">
        <v>54</v>
      </c>
      <c r="E703" t="s">
        <v>27</v>
      </c>
      <c r="F703">
        <v>1</v>
      </c>
      <c r="G703">
        <v>1</v>
      </c>
      <c r="H703">
        <f t="shared" si="40"/>
        <v>5421</v>
      </c>
      <c r="I703">
        <v>0</v>
      </c>
      <c r="J703">
        <f t="shared" si="41"/>
        <v>0</v>
      </c>
      <c r="K703">
        <v>0</v>
      </c>
      <c r="L703">
        <f t="shared" si="42"/>
        <v>0</v>
      </c>
      <c r="M703">
        <v>0</v>
      </c>
      <c r="N703">
        <f t="shared" si="43"/>
        <v>0</v>
      </c>
    </row>
    <row r="704" spans="1:14" x14ac:dyDescent="0.25">
      <c r="A704">
        <f>VLOOKUP(B704,Calculations!$A$2:$B$10,2)+VLOOKUP(C704,Calculations!$C$2:$D$7,2)+VLOOKUP(D704,Calculations!$E$2:$F$6,2)+VLOOKUP(E704,Calculations!$G$2:$H$6,2)</f>
        <v>5422</v>
      </c>
      <c r="B704" t="s">
        <v>7</v>
      </c>
      <c r="C704" t="s">
        <v>19</v>
      </c>
      <c r="D704" t="s">
        <v>13</v>
      </c>
      <c r="E704" t="s">
        <v>27</v>
      </c>
      <c r="F704">
        <v>1</v>
      </c>
      <c r="G704">
        <v>1</v>
      </c>
      <c r="H704">
        <f t="shared" si="40"/>
        <v>5422</v>
      </c>
      <c r="I704">
        <v>0</v>
      </c>
      <c r="J704">
        <f t="shared" si="41"/>
        <v>0</v>
      </c>
      <c r="K704">
        <v>0</v>
      </c>
      <c r="L704">
        <f t="shared" si="42"/>
        <v>0</v>
      </c>
      <c r="M704">
        <v>0</v>
      </c>
      <c r="N704">
        <f t="shared" si="43"/>
        <v>0</v>
      </c>
    </row>
    <row r="705" spans="1:14" x14ac:dyDescent="0.25">
      <c r="A705">
        <f>VLOOKUP(B705,Calculations!$A$2:$B$10,2)+VLOOKUP(C705,Calculations!$C$2:$D$7,2)+VLOOKUP(D705,Calculations!$E$2:$F$6,2)+VLOOKUP(E705,Calculations!$G$2:$H$6,2)</f>
        <v>5423</v>
      </c>
      <c r="B705" t="s">
        <v>7</v>
      </c>
      <c r="C705" t="s">
        <v>19</v>
      </c>
      <c r="D705" t="s">
        <v>14</v>
      </c>
      <c r="E705" t="s">
        <v>27</v>
      </c>
      <c r="F705">
        <v>1</v>
      </c>
      <c r="G705">
        <v>1</v>
      </c>
      <c r="H705">
        <f t="shared" si="40"/>
        <v>5423</v>
      </c>
      <c r="I705">
        <v>0</v>
      </c>
      <c r="J705">
        <f t="shared" si="41"/>
        <v>0</v>
      </c>
      <c r="K705">
        <v>0</v>
      </c>
      <c r="L705">
        <f t="shared" si="42"/>
        <v>0</v>
      </c>
      <c r="M705">
        <v>0</v>
      </c>
      <c r="N705">
        <f t="shared" si="43"/>
        <v>0</v>
      </c>
    </row>
    <row r="706" spans="1:14" x14ac:dyDescent="0.25">
      <c r="A706">
        <f>VLOOKUP(B706,Calculations!$A$2:$B$10,2)+VLOOKUP(C706,Calculations!$C$2:$D$7,2)+VLOOKUP(D706,Calculations!$E$2:$F$6,2)+VLOOKUP(E706,Calculations!$G$2:$H$6,2)</f>
        <v>5424</v>
      </c>
      <c r="B706" t="s">
        <v>7</v>
      </c>
      <c r="C706" t="s">
        <v>19</v>
      </c>
      <c r="D706" t="s">
        <v>15</v>
      </c>
      <c r="E706" t="s">
        <v>27</v>
      </c>
      <c r="F706">
        <v>1</v>
      </c>
      <c r="G706">
        <v>1</v>
      </c>
      <c r="H706">
        <f t="shared" ref="H706:H769" si="44">A706*G706</f>
        <v>5424</v>
      </c>
      <c r="I706">
        <v>0</v>
      </c>
      <c r="J706">
        <f t="shared" ref="J706:J769" si="45">A706*I706</f>
        <v>0</v>
      </c>
      <c r="K706">
        <v>0</v>
      </c>
      <c r="L706">
        <f t="shared" ref="L706:L769" si="46">K706*A706</f>
        <v>0</v>
      </c>
      <c r="M706">
        <v>0</v>
      </c>
      <c r="N706">
        <f t="shared" ref="N706:N769" si="47">A706*M706</f>
        <v>0</v>
      </c>
    </row>
    <row r="707" spans="1:14" x14ac:dyDescent="0.25">
      <c r="A707">
        <f>VLOOKUP(B707,Calculations!$A$2:$B$10,2)+VLOOKUP(C707,Calculations!$C$2:$D$7,2)+VLOOKUP(D707,Calculations!$E$2:$F$6,2)+VLOOKUP(E707,Calculations!$G$2:$H$6,2)</f>
        <v>5431</v>
      </c>
      <c r="B707" t="s">
        <v>53</v>
      </c>
      <c r="C707" t="s">
        <v>19</v>
      </c>
      <c r="D707" t="s">
        <v>54</v>
      </c>
      <c r="E707" t="s">
        <v>27</v>
      </c>
      <c r="F707">
        <v>1</v>
      </c>
      <c r="G707">
        <v>1</v>
      </c>
      <c r="H707">
        <f t="shared" si="44"/>
        <v>5431</v>
      </c>
      <c r="I707">
        <v>0</v>
      </c>
      <c r="J707">
        <f t="shared" si="45"/>
        <v>0</v>
      </c>
      <c r="K707">
        <v>0</v>
      </c>
      <c r="L707">
        <f t="shared" si="46"/>
        <v>0</v>
      </c>
      <c r="M707">
        <v>0</v>
      </c>
      <c r="N707">
        <f t="shared" si="47"/>
        <v>0</v>
      </c>
    </row>
    <row r="708" spans="1:14" x14ac:dyDescent="0.25">
      <c r="A708">
        <f>VLOOKUP(B708,Calculations!$A$2:$B$10,2)+VLOOKUP(C708,Calculations!$C$2:$D$7,2)+VLOOKUP(D708,Calculations!$E$2:$F$6,2)+VLOOKUP(E708,Calculations!$G$2:$H$6,2)</f>
        <v>5432</v>
      </c>
      <c r="B708" t="s">
        <v>53</v>
      </c>
      <c r="C708" t="s">
        <v>19</v>
      </c>
      <c r="D708" t="s">
        <v>13</v>
      </c>
      <c r="E708" t="s">
        <v>27</v>
      </c>
      <c r="F708">
        <v>1</v>
      </c>
      <c r="G708">
        <v>1</v>
      </c>
      <c r="H708">
        <f t="shared" si="44"/>
        <v>5432</v>
      </c>
      <c r="I708">
        <v>0</v>
      </c>
      <c r="J708">
        <f t="shared" si="45"/>
        <v>0</v>
      </c>
      <c r="K708">
        <v>0</v>
      </c>
      <c r="L708">
        <f t="shared" si="46"/>
        <v>0</v>
      </c>
      <c r="M708">
        <v>0</v>
      </c>
      <c r="N708">
        <f t="shared" si="47"/>
        <v>0</v>
      </c>
    </row>
    <row r="709" spans="1:14" x14ac:dyDescent="0.25">
      <c r="A709">
        <f>VLOOKUP(B709,Calculations!$A$2:$B$10,2)+VLOOKUP(C709,Calculations!$C$2:$D$7,2)+VLOOKUP(D709,Calculations!$E$2:$F$6,2)+VLOOKUP(E709,Calculations!$G$2:$H$6,2)</f>
        <v>5433</v>
      </c>
      <c r="B709" t="s">
        <v>53</v>
      </c>
      <c r="C709" t="s">
        <v>19</v>
      </c>
      <c r="D709" t="s">
        <v>14</v>
      </c>
      <c r="E709" t="s">
        <v>27</v>
      </c>
      <c r="F709">
        <v>1</v>
      </c>
      <c r="G709">
        <v>1</v>
      </c>
      <c r="H709">
        <f t="shared" si="44"/>
        <v>5433</v>
      </c>
      <c r="I709">
        <v>0</v>
      </c>
      <c r="J709">
        <f t="shared" si="45"/>
        <v>0</v>
      </c>
      <c r="K709">
        <v>0</v>
      </c>
      <c r="L709">
        <f t="shared" si="46"/>
        <v>0</v>
      </c>
      <c r="M709">
        <v>0</v>
      </c>
      <c r="N709">
        <f t="shared" si="47"/>
        <v>0</v>
      </c>
    </row>
    <row r="710" spans="1:14" x14ac:dyDescent="0.25">
      <c r="A710">
        <f>VLOOKUP(B710,Calculations!$A$2:$B$10,2)+VLOOKUP(C710,Calculations!$C$2:$D$7,2)+VLOOKUP(D710,Calculations!$E$2:$F$6,2)+VLOOKUP(E710,Calculations!$G$2:$H$6,2)</f>
        <v>5434</v>
      </c>
      <c r="B710" t="s">
        <v>53</v>
      </c>
      <c r="C710" t="s">
        <v>19</v>
      </c>
      <c r="D710" t="s">
        <v>15</v>
      </c>
      <c r="E710" t="s">
        <v>27</v>
      </c>
      <c r="F710">
        <v>1</v>
      </c>
      <c r="G710">
        <v>1</v>
      </c>
      <c r="H710">
        <f t="shared" si="44"/>
        <v>5434</v>
      </c>
      <c r="I710">
        <v>0</v>
      </c>
      <c r="J710">
        <f t="shared" si="45"/>
        <v>0</v>
      </c>
      <c r="K710">
        <v>0</v>
      </c>
      <c r="L710">
        <f t="shared" si="46"/>
        <v>0</v>
      </c>
      <c r="M710">
        <v>0</v>
      </c>
      <c r="N710">
        <f t="shared" si="47"/>
        <v>0</v>
      </c>
    </row>
    <row r="711" spans="1:14" x14ac:dyDescent="0.25">
      <c r="A711">
        <f>VLOOKUP(B711,Calculations!$A$2:$B$10,2)+VLOOKUP(C711,Calculations!$C$2:$D$7,2)+VLOOKUP(D711,Calculations!$E$2:$F$6,2)+VLOOKUP(E711,Calculations!$G$2:$H$6,2)</f>
        <v>5441</v>
      </c>
      <c r="B711" t="s">
        <v>9</v>
      </c>
      <c r="C711" t="s">
        <v>19</v>
      </c>
      <c r="D711" t="s">
        <v>54</v>
      </c>
      <c r="E711" t="s">
        <v>27</v>
      </c>
      <c r="F711">
        <v>1</v>
      </c>
      <c r="G711">
        <v>1</v>
      </c>
      <c r="H711">
        <f t="shared" si="44"/>
        <v>5441</v>
      </c>
      <c r="I711">
        <v>0</v>
      </c>
      <c r="J711">
        <f t="shared" si="45"/>
        <v>0</v>
      </c>
      <c r="K711">
        <v>0</v>
      </c>
      <c r="L711">
        <f t="shared" si="46"/>
        <v>0</v>
      </c>
      <c r="M711">
        <v>0</v>
      </c>
      <c r="N711">
        <f t="shared" si="47"/>
        <v>0</v>
      </c>
    </row>
    <row r="712" spans="1:14" x14ac:dyDescent="0.25">
      <c r="A712">
        <f>VLOOKUP(B712,Calculations!$A$2:$B$10,2)+VLOOKUP(C712,Calculations!$C$2:$D$7,2)+VLOOKUP(D712,Calculations!$E$2:$F$6,2)+VLOOKUP(E712,Calculations!$G$2:$H$6,2)</f>
        <v>5442</v>
      </c>
      <c r="B712" t="s">
        <v>9</v>
      </c>
      <c r="C712" t="s">
        <v>19</v>
      </c>
      <c r="D712" t="s">
        <v>13</v>
      </c>
      <c r="E712" t="s">
        <v>27</v>
      </c>
      <c r="F712">
        <v>0</v>
      </c>
      <c r="G712">
        <v>0</v>
      </c>
      <c r="H712">
        <f t="shared" si="44"/>
        <v>0</v>
      </c>
      <c r="I712">
        <v>0</v>
      </c>
      <c r="J712">
        <f t="shared" si="45"/>
        <v>0</v>
      </c>
      <c r="K712">
        <v>0</v>
      </c>
      <c r="L712">
        <f t="shared" si="46"/>
        <v>0</v>
      </c>
      <c r="M712">
        <v>0</v>
      </c>
      <c r="N712">
        <f t="shared" si="47"/>
        <v>0</v>
      </c>
    </row>
    <row r="713" spans="1:14" x14ac:dyDescent="0.25">
      <c r="A713">
        <f>VLOOKUP(B713,Calculations!$A$2:$B$10,2)+VLOOKUP(C713,Calculations!$C$2:$D$7,2)+VLOOKUP(D713,Calculations!$E$2:$F$6,2)+VLOOKUP(E713,Calculations!$G$2:$H$6,2)</f>
        <v>5443</v>
      </c>
      <c r="B713" t="s">
        <v>9</v>
      </c>
      <c r="C713" t="s">
        <v>19</v>
      </c>
      <c r="D713" t="s">
        <v>14</v>
      </c>
      <c r="E713" t="s">
        <v>27</v>
      </c>
      <c r="F713">
        <v>0</v>
      </c>
      <c r="G713">
        <v>0</v>
      </c>
      <c r="H713">
        <f t="shared" si="44"/>
        <v>0</v>
      </c>
      <c r="I713">
        <v>0</v>
      </c>
      <c r="J713">
        <f t="shared" si="45"/>
        <v>0</v>
      </c>
      <c r="K713">
        <v>0</v>
      </c>
      <c r="L713">
        <f t="shared" si="46"/>
        <v>0</v>
      </c>
      <c r="M713">
        <v>0</v>
      </c>
      <c r="N713">
        <f t="shared" si="47"/>
        <v>0</v>
      </c>
    </row>
    <row r="714" spans="1:14" x14ac:dyDescent="0.25">
      <c r="A714">
        <f>VLOOKUP(B714,Calculations!$A$2:$B$10,2)+VLOOKUP(C714,Calculations!$C$2:$D$7,2)+VLOOKUP(D714,Calculations!$E$2:$F$6,2)+VLOOKUP(E714,Calculations!$G$2:$H$6,2)</f>
        <v>5444</v>
      </c>
      <c r="B714" t="s">
        <v>9</v>
      </c>
      <c r="C714" t="s">
        <v>19</v>
      </c>
      <c r="D714" t="s">
        <v>15</v>
      </c>
      <c r="E714" t="s">
        <v>27</v>
      </c>
      <c r="F714">
        <v>0</v>
      </c>
      <c r="G714">
        <v>0</v>
      </c>
      <c r="H714">
        <f t="shared" si="44"/>
        <v>0</v>
      </c>
      <c r="I714">
        <v>0</v>
      </c>
      <c r="J714">
        <f t="shared" si="45"/>
        <v>0</v>
      </c>
      <c r="K714">
        <v>0</v>
      </c>
      <c r="L714">
        <f t="shared" si="46"/>
        <v>0</v>
      </c>
      <c r="M714">
        <v>0</v>
      </c>
      <c r="N714">
        <f t="shared" si="47"/>
        <v>0</v>
      </c>
    </row>
    <row r="715" spans="1:14" x14ac:dyDescent="0.25">
      <c r="A715">
        <f>VLOOKUP(B715,Calculations!$A$2:$B$10,2)+VLOOKUP(C715,Calculations!$C$2:$D$7,2)+VLOOKUP(D715,Calculations!$E$2:$F$6,2)+VLOOKUP(E715,Calculations!$G$2:$H$6,2)</f>
        <v>5451</v>
      </c>
      <c r="B715" t="s">
        <v>50</v>
      </c>
      <c r="C715" t="s">
        <v>19</v>
      </c>
      <c r="D715" t="s">
        <v>54</v>
      </c>
      <c r="E715" t="s">
        <v>27</v>
      </c>
      <c r="F715">
        <v>1</v>
      </c>
      <c r="G715">
        <v>1</v>
      </c>
      <c r="H715">
        <f t="shared" si="44"/>
        <v>5451</v>
      </c>
      <c r="I715">
        <v>0</v>
      </c>
      <c r="J715">
        <f t="shared" si="45"/>
        <v>0</v>
      </c>
      <c r="K715">
        <v>0</v>
      </c>
      <c r="L715">
        <f t="shared" si="46"/>
        <v>0</v>
      </c>
      <c r="M715">
        <v>0</v>
      </c>
      <c r="N715">
        <f t="shared" si="47"/>
        <v>0</v>
      </c>
    </row>
    <row r="716" spans="1:14" x14ac:dyDescent="0.25">
      <c r="A716">
        <f>VLOOKUP(B716,Calculations!$A$2:$B$10,2)+VLOOKUP(C716,Calculations!$C$2:$D$7,2)+VLOOKUP(D716,Calculations!$E$2:$F$6,2)+VLOOKUP(E716,Calculations!$G$2:$H$6,2)</f>
        <v>5452</v>
      </c>
      <c r="B716" t="s">
        <v>50</v>
      </c>
      <c r="C716" t="s">
        <v>19</v>
      </c>
      <c r="D716" t="s">
        <v>13</v>
      </c>
      <c r="E716" t="s">
        <v>27</v>
      </c>
      <c r="F716">
        <v>1</v>
      </c>
      <c r="G716">
        <v>1</v>
      </c>
      <c r="H716">
        <f t="shared" si="44"/>
        <v>5452</v>
      </c>
      <c r="I716">
        <v>0</v>
      </c>
      <c r="J716">
        <f t="shared" si="45"/>
        <v>0</v>
      </c>
      <c r="K716">
        <v>0</v>
      </c>
      <c r="L716">
        <f t="shared" si="46"/>
        <v>0</v>
      </c>
      <c r="M716">
        <v>0</v>
      </c>
      <c r="N716">
        <f t="shared" si="47"/>
        <v>0</v>
      </c>
    </row>
    <row r="717" spans="1:14" x14ac:dyDescent="0.25">
      <c r="A717">
        <f>VLOOKUP(B717,Calculations!$A$2:$B$10,2)+VLOOKUP(C717,Calculations!$C$2:$D$7,2)+VLOOKUP(D717,Calculations!$E$2:$F$6,2)+VLOOKUP(E717,Calculations!$G$2:$H$6,2)</f>
        <v>5453</v>
      </c>
      <c r="B717" t="s">
        <v>50</v>
      </c>
      <c r="C717" t="s">
        <v>19</v>
      </c>
      <c r="D717" t="s">
        <v>14</v>
      </c>
      <c r="E717" t="s">
        <v>27</v>
      </c>
      <c r="F717">
        <v>1</v>
      </c>
      <c r="G717">
        <v>1</v>
      </c>
      <c r="H717">
        <f t="shared" si="44"/>
        <v>5453</v>
      </c>
      <c r="I717">
        <v>0</v>
      </c>
      <c r="J717">
        <f t="shared" si="45"/>
        <v>0</v>
      </c>
      <c r="K717">
        <v>0</v>
      </c>
      <c r="L717">
        <f t="shared" si="46"/>
        <v>0</v>
      </c>
      <c r="M717">
        <v>0</v>
      </c>
      <c r="N717">
        <f t="shared" si="47"/>
        <v>0</v>
      </c>
    </row>
    <row r="718" spans="1:14" x14ac:dyDescent="0.25">
      <c r="A718">
        <f>VLOOKUP(B718,Calculations!$A$2:$B$10,2)+VLOOKUP(C718,Calculations!$C$2:$D$7,2)+VLOOKUP(D718,Calculations!$E$2:$F$6,2)+VLOOKUP(E718,Calculations!$G$2:$H$6,2)</f>
        <v>5454</v>
      </c>
      <c r="B718" t="s">
        <v>50</v>
      </c>
      <c r="C718" t="s">
        <v>19</v>
      </c>
      <c r="D718" t="s">
        <v>15</v>
      </c>
      <c r="E718" t="s">
        <v>27</v>
      </c>
      <c r="F718">
        <v>1</v>
      </c>
      <c r="G718">
        <v>1</v>
      </c>
      <c r="H718">
        <f t="shared" si="44"/>
        <v>5454</v>
      </c>
      <c r="I718">
        <v>0</v>
      </c>
      <c r="J718">
        <f t="shared" si="45"/>
        <v>0</v>
      </c>
      <c r="K718">
        <v>0</v>
      </c>
      <c r="L718">
        <f t="shared" si="46"/>
        <v>0</v>
      </c>
      <c r="M718">
        <v>0</v>
      </c>
      <c r="N718">
        <f t="shared" si="47"/>
        <v>0</v>
      </c>
    </row>
    <row r="719" spans="1:14" x14ac:dyDescent="0.25">
      <c r="A719">
        <f>VLOOKUP(B719,Calculations!$A$2:$B$10,2)+VLOOKUP(C719,Calculations!$C$2:$D$7,2)+VLOOKUP(D719,Calculations!$E$2:$F$6,2)+VLOOKUP(E719,Calculations!$G$2:$H$6,2)</f>
        <v>5461</v>
      </c>
      <c r="B719" t="s">
        <v>51</v>
      </c>
      <c r="C719" t="s">
        <v>19</v>
      </c>
      <c r="D719" t="s">
        <v>54</v>
      </c>
      <c r="E719" t="s">
        <v>27</v>
      </c>
      <c r="F719">
        <v>1</v>
      </c>
      <c r="G719">
        <v>0</v>
      </c>
      <c r="H719">
        <f t="shared" si="44"/>
        <v>0</v>
      </c>
      <c r="I719">
        <v>0</v>
      </c>
      <c r="J719">
        <f t="shared" si="45"/>
        <v>0</v>
      </c>
      <c r="K719">
        <v>0</v>
      </c>
      <c r="L719">
        <f t="shared" si="46"/>
        <v>0</v>
      </c>
      <c r="M719">
        <v>0</v>
      </c>
      <c r="N719">
        <f t="shared" si="47"/>
        <v>0</v>
      </c>
    </row>
    <row r="720" spans="1:14" x14ac:dyDescent="0.25">
      <c r="A720">
        <f>VLOOKUP(B720,Calculations!$A$2:$B$10,2)+VLOOKUP(C720,Calculations!$C$2:$D$7,2)+VLOOKUP(D720,Calculations!$E$2:$F$6,2)+VLOOKUP(E720,Calculations!$G$2:$H$6,2)</f>
        <v>5462</v>
      </c>
      <c r="B720" t="s">
        <v>51</v>
      </c>
      <c r="C720" t="s">
        <v>19</v>
      </c>
      <c r="D720" t="s">
        <v>13</v>
      </c>
      <c r="E720" t="s">
        <v>27</v>
      </c>
      <c r="F720">
        <v>1</v>
      </c>
      <c r="G720">
        <v>0</v>
      </c>
      <c r="H720">
        <f t="shared" si="44"/>
        <v>0</v>
      </c>
      <c r="I720">
        <v>0</v>
      </c>
      <c r="J720">
        <f t="shared" si="45"/>
        <v>0</v>
      </c>
      <c r="K720">
        <v>0</v>
      </c>
      <c r="L720">
        <f t="shared" si="46"/>
        <v>0</v>
      </c>
      <c r="M720">
        <v>0</v>
      </c>
      <c r="N720">
        <f t="shared" si="47"/>
        <v>0</v>
      </c>
    </row>
    <row r="721" spans="1:14" x14ac:dyDescent="0.25">
      <c r="A721">
        <f>VLOOKUP(B721,Calculations!$A$2:$B$10,2)+VLOOKUP(C721,Calculations!$C$2:$D$7,2)+VLOOKUP(D721,Calculations!$E$2:$F$6,2)+VLOOKUP(E721,Calculations!$G$2:$H$6,2)</f>
        <v>5463</v>
      </c>
      <c r="B721" t="s">
        <v>51</v>
      </c>
      <c r="C721" t="s">
        <v>19</v>
      </c>
      <c r="D721" t="s">
        <v>14</v>
      </c>
      <c r="E721" t="s">
        <v>27</v>
      </c>
      <c r="F721">
        <v>1</v>
      </c>
      <c r="G721">
        <v>0</v>
      </c>
      <c r="H721">
        <f t="shared" si="44"/>
        <v>0</v>
      </c>
      <c r="I721">
        <v>0</v>
      </c>
      <c r="J721">
        <f t="shared" si="45"/>
        <v>0</v>
      </c>
      <c r="K721">
        <v>0</v>
      </c>
      <c r="L721">
        <f t="shared" si="46"/>
        <v>0</v>
      </c>
      <c r="M721">
        <v>0</v>
      </c>
      <c r="N721">
        <f t="shared" si="47"/>
        <v>0</v>
      </c>
    </row>
    <row r="722" spans="1:14" x14ac:dyDescent="0.25">
      <c r="A722">
        <f>VLOOKUP(B722,Calculations!$A$2:$B$10,2)+VLOOKUP(C722,Calculations!$C$2:$D$7,2)+VLOOKUP(D722,Calculations!$E$2:$F$6,2)+VLOOKUP(E722,Calculations!$G$2:$H$6,2)</f>
        <v>5464</v>
      </c>
      <c r="B722" t="s">
        <v>51</v>
      </c>
      <c r="C722" t="s">
        <v>19</v>
      </c>
      <c r="D722" t="s">
        <v>15</v>
      </c>
      <c r="E722" t="s">
        <v>27</v>
      </c>
      <c r="F722">
        <v>1</v>
      </c>
      <c r="G722">
        <v>0</v>
      </c>
      <c r="H722">
        <f t="shared" si="44"/>
        <v>0</v>
      </c>
      <c r="I722">
        <v>0</v>
      </c>
      <c r="J722">
        <f t="shared" si="45"/>
        <v>0</v>
      </c>
      <c r="K722">
        <v>0</v>
      </c>
      <c r="L722">
        <f t="shared" si="46"/>
        <v>0</v>
      </c>
      <c r="M722">
        <v>0</v>
      </c>
      <c r="N722">
        <f t="shared" si="47"/>
        <v>0</v>
      </c>
    </row>
    <row r="723" spans="1:14" x14ac:dyDescent="0.25">
      <c r="A723">
        <f>VLOOKUP(B723,Calculations!$A$2:$B$10,2)+VLOOKUP(C723,Calculations!$C$2:$D$7,2)+VLOOKUP(D723,Calculations!$E$2:$F$6,2)+VLOOKUP(E723,Calculations!$G$2:$H$6,2)</f>
        <v>5471</v>
      </c>
      <c r="B723" t="s">
        <v>52</v>
      </c>
      <c r="C723" t="s">
        <v>19</v>
      </c>
      <c r="D723" t="s">
        <v>54</v>
      </c>
      <c r="E723" t="s">
        <v>27</v>
      </c>
      <c r="F723">
        <v>1</v>
      </c>
      <c r="G723">
        <v>1</v>
      </c>
      <c r="H723">
        <f t="shared" si="44"/>
        <v>5471</v>
      </c>
      <c r="I723">
        <v>0</v>
      </c>
      <c r="J723">
        <f t="shared" si="45"/>
        <v>0</v>
      </c>
      <c r="K723">
        <v>0</v>
      </c>
      <c r="L723">
        <f t="shared" si="46"/>
        <v>0</v>
      </c>
      <c r="M723">
        <v>0</v>
      </c>
      <c r="N723">
        <f t="shared" si="47"/>
        <v>0</v>
      </c>
    </row>
    <row r="724" spans="1:14" x14ac:dyDescent="0.25">
      <c r="A724">
        <f>VLOOKUP(B724,Calculations!$A$2:$B$10,2)+VLOOKUP(C724,Calculations!$C$2:$D$7,2)+VLOOKUP(D724,Calculations!$E$2:$F$6,2)+VLOOKUP(E724,Calculations!$G$2:$H$6,2)</f>
        <v>5472</v>
      </c>
      <c r="B724" t="s">
        <v>52</v>
      </c>
      <c r="C724" t="s">
        <v>19</v>
      </c>
      <c r="D724" t="s">
        <v>13</v>
      </c>
      <c r="E724" t="s">
        <v>27</v>
      </c>
      <c r="F724">
        <v>1</v>
      </c>
      <c r="G724">
        <v>1</v>
      </c>
      <c r="H724">
        <f t="shared" si="44"/>
        <v>5472</v>
      </c>
      <c r="I724">
        <v>0</v>
      </c>
      <c r="J724">
        <f t="shared" si="45"/>
        <v>0</v>
      </c>
      <c r="K724">
        <v>0</v>
      </c>
      <c r="L724">
        <f t="shared" si="46"/>
        <v>0</v>
      </c>
      <c r="M724">
        <v>0</v>
      </c>
      <c r="N724">
        <f t="shared" si="47"/>
        <v>0</v>
      </c>
    </row>
    <row r="725" spans="1:14" x14ac:dyDescent="0.25">
      <c r="A725">
        <f>VLOOKUP(B725,Calculations!$A$2:$B$10,2)+VLOOKUP(C725,Calculations!$C$2:$D$7,2)+VLOOKUP(D725,Calculations!$E$2:$F$6,2)+VLOOKUP(E725,Calculations!$G$2:$H$6,2)</f>
        <v>5473</v>
      </c>
      <c r="B725" t="s">
        <v>52</v>
      </c>
      <c r="C725" t="s">
        <v>19</v>
      </c>
      <c r="D725" t="s">
        <v>14</v>
      </c>
      <c r="E725" t="s">
        <v>27</v>
      </c>
      <c r="F725">
        <v>1</v>
      </c>
      <c r="G725">
        <v>1</v>
      </c>
      <c r="H725">
        <f t="shared" si="44"/>
        <v>5473</v>
      </c>
      <c r="I725">
        <v>0</v>
      </c>
      <c r="J725">
        <f t="shared" si="45"/>
        <v>0</v>
      </c>
      <c r="K725">
        <v>0</v>
      </c>
      <c r="L725">
        <f t="shared" si="46"/>
        <v>0</v>
      </c>
      <c r="M725">
        <v>0</v>
      </c>
      <c r="N725">
        <f t="shared" si="47"/>
        <v>0</v>
      </c>
    </row>
    <row r="726" spans="1:14" x14ac:dyDescent="0.25">
      <c r="A726">
        <f>VLOOKUP(B726,Calculations!$A$2:$B$10,2)+VLOOKUP(C726,Calculations!$C$2:$D$7,2)+VLOOKUP(D726,Calculations!$E$2:$F$6,2)+VLOOKUP(E726,Calculations!$G$2:$H$6,2)</f>
        <v>5474</v>
      </c>
      <c r="B726" t="s">
        <v>52</v>
      </c>
      <c r="C726" t="s">
        <v>19</v>
      </c>
      <c r="D726" t="s">
        <v>15</v>
      </c>
      <c r="E726" t="s">
        <v>27</v>
      </c>
      <c r="F726">
        <v>1</v>
      </c>
      <c r="G726">
        <v>1</v>
      </c>
      <c r="H726">
        <f t="shared" si="44"/>
        <v>5474</v>
      </c>
      <c r="I726">
        <v>0</v>
      </c>
      <c r="J726">
        <f t="shared" si="45"/>
        <v>0</v>
      </c>
      <c r="K726">
        <v>0</v>
      </c>
      <c r="L726">
        <f t="shared" si="46"/>
        <v>0</v>
      </c>
      <c r="M726">
        <v>0</v>
      </c>
      <c r="N726">
        <f t="shared" si="47"/>
        <v>0</v>
      </c>
    </row>
    <row r="727" spans="1:14" x14ac:dyDescent="0.25">
      <c r="A727">
        <f>VLOOKUP(B727,Calculations!$A$2:$B$10,2)+VLOOKUP(C727,Calculations!$C$2:$D$7,2)+VLOOKUP(D727,Calculations!$E$2:$F$6,2)+VLOOKUP(E727,Calculations!$G$2:$H$6,2)</f>
        <v>5481</v>
      </c>
      <c r="B727" t="s">
        <v>8</v>
      </c>
      <c r="C727" t="s">
        <v>19</v>
      </c>
      <c r="D727" t="s">
        <v>54</v>
      </c>
      <c r="E727" t="s">
        <v>27</v>
      </c>
      <c r="F727">
        <v>1</v>
      </c>
      <c r="G727">
        <v>1</v>
      </c>
      <c r="H727">
        <f t="shared" si="44"/>
        <v>5481</v>
      </c>
      <c r="I727">
        <v>0</v>
      </c>
      <c r="J727">
        <f t="shared" si="45"/>
        <v>0</v>
      </c>
      <c r="K727">
        <v>0</v>
      </c>
      <c r="L727">
        <f t="shared" si="46"/>
        <v>0</v>
      </c>
      <c r="M727">
        <v>0</v>
      </c>
      <c r="N727">
        <f t="shared" si="47"/>
        <v>0</v>
      </c>
    </row>
    <row r="728" spans="1:14" x14ac:dyDescent="0.25">
      <c r="A728">
        <f>VLOOKUP(B728,Calculations!$A$2:$B$10,2)+VLOOKUP(C728,Calculations!$C$2:$D$7,2)+VLOOKUP(D728,Calculations!$E$2:$F$6,2)+VLOOKUP(E728,Calculations!$G$2:$H$6,2)</f>
        <v>5482</v>
      </c>
      <c r="B728" t="s">
        <v>8</v>
      </c>
      <c r="C728" t="s">
        <v>19</v>
      </c>
      <c r="D728" t="s">
        <v>13</v>
      </c>
      <c r="E728" t="s">
        <v>27</v>
      </c>
      <c r="F728">
        <v>1</v>
      </c>
      <c r="G728">
        <v>1</v>
      </c>
      <c r="H728">
        <f t="shared" si="44"/>
        <v>5482</v>
      </c>
      <c r="I728">
        <v>0</v>
      </c>
      <c r="J728">
        <f t="shared" si="45"/>
        <v>0</v>
      </c>
      <c r="K728">
        <v>0</v>
      </c>
      <c r="L728">
        <f t="shared" si="46"/>
        <v>0</v>
      </c>
      <c r="M728">
        <v>0</v>
      </c>
      <c r="N728">
        <f t="shared" si="47"/>
        <v>0</v>
      </c>
    </row>
    <row r="729" spans="1:14" x14ac:dyDescent="0.25">
      <c r="A729">
        <f>VLOOKUP(B729,Calculations!$A$2:$B$10,2)+VLOOKUP(C729,Calculations!$C$2:$D$7,2)+VLOOKUP(D729,Calculations!$E$2:$F$6,2)+VLOOKUP(E729,Calculations!$G$2:$H$6,2)</f>
        <v>5483</v>
      </c>
      <c r="B729" t="s">
        <v>8</v>
      </c>
      <c r="C729" t="s">
        <v>19</v>
      </c>
      <c r="D729" t="s">
        <v>14</v>
      </c>
      <c r="E729" t="s">
        <v>27</v>
      </c>
      <c r="F729">
        <v>1</v>
      </c>
      <c r="G729">
        <v>1</v>
      </c>
      <c r="H729">
        <f t="shared" si="44"/>
        <v>5483</v>
      </c>
      <c r="I729">
        <v>0</v>
      </c>
      <c r="J729">
        <f t="shared" si="45"/>
        <v>0</v>
      </c>
      <c r="K729">
        <v>0</v>
      </c>
      <c r="L729">
        <f t="shared" si="46"/>
        <v>0</v>
      </c>
      <c r="M729">
        <v>0</v>
      </c>
      <c r="N729">
        <f t="shared" si="47"/>
        <v>0</v>
      </c>
    </row>
    <row r="730" spans="1:14" x14ac:dyDescent="0.25">
      <c r="A730">
        <f>VLOOKUP(B730,Calculations!$A$2:$B$10,2)+VLOOKUP(C730,Calculations!$C$2:$D$7,2)+VLOOKUP(D730,Calculations!$E$2:$F$6,2)+VLOOKUP(E730,Calculations!$G$2:$H$6,2)</f>
        <v>5484</v>
      </c>
      <c r="B730" t="s">
        <v>8</v>
      </c>
      <c r="C730" t="s">
        <v>19</v>
      </c>
      <c r="D730" t="s">
        <v>15</v>
      </c>
      <c r="E730" t="s">
        <v>27</v>
      </c>
      <c r="F730">
        <v>1</v>
      </c>
      <c r="G730">
        <v>1</v>
      </c>
      <c r="H730">
        <f t="shared" si="44"/>
        <v>5484</v>
      </c>
      <c r="I730">
        <v>0</v>
      </c>
      <c r="J730">
        <f t="shared" si="45"/>
        <v>0</v>
      </c>
      <c r="K730">
        <v>0</v>
      </c>
      <c r="L730">
        <f t="shared" si="46"/>
        <v>0</v>
      </c>
      <c r="M730">
        <v>0</v>
      </c>
      <c r="N730">
        <f t="shared" si="47"/>
        <v>0</v>
      </c>
    </row>
    <row r="731" spans="1:14" x14ac:dyDescent="0.25">
      <c r="A731">
        <f>VLOOKUP(B731,Calculations!$A$2:$B$10,2)+VLOOKUP(C731,Calculations!$C$2:$D$7,2)+VLOOKUP(D731,Calculations!$E$2:$F$6,2)+VLOOKUP(E731,Calculations!$G$2:$H$6,2)</f>
        <v>5501</v>
      </c>
      <c r="B731" t="s">
        <v>5</v>
      </c>
      <c r="C731" t="s">
        <v>19</v>
      </c>
      <c r="D731" t="s">
        <v>54</v>
      </c>
      <c r="E731" t="s">
        <v>28</v>
      </c>
      <c r="F731">
        <v>1</v>
      </c>
      <c r="G731">
        <v>1</v>
      </c>
      <c r="H731">
        <f t="shared" si="44"/>
        <v>5501</v>
      </c>
      <c r="I731">
        <v>1</v>
      </c>
      <c r="J731">
        <f t="shared" si="45"/>
        <v>5501</v>
      </c>
      <c r="K731">
        <v>0</v>
      </c>
      <c r="L731">
        <f t="shared" si="46"/>
        <v>0</v>
      </c>
      <c r="M731">
        <v>0</v>
      </c>
      <c r="N731">
        <f t="shared" si="47"/>
        <v>0</v>
      </c>
    </row>
    <row r="732" spans="1:14" x14ac:dyDescent="0.25">
      <c r="A732">
        <f>VLOOKUP(B732,Calculations!$A$2:$B$10,2)+VLOOKUP(C732,Calculations!$C$2:$D$7,2)+VLOOKUP(D732,Calculations!$E$2:$F$6,2)+VLOOKUP(E732,Calculations!$G$2:$H$6,2)</f>
        <v>5502</v>
      </c>
      <c r="B732" t="s">
        <v>5</v>
      </c>
      <c r="C732" t="s">
        <v>19</v>
      </c>
      <c r="D732" t="s">
        <v>13</v>
      </c>
      <c r="E732" t="s">
        <v>28</v>
      </c>
      <c r="F732">
        <v>1</v>
      </c>
      <c r="G732">
        <v>1</v>
      </c>
      <c r="H732">
        <f t="shared" si="44"/>
        <v>5502</v>
      </c>
      <c r="I732">
        <v>1</v>
      </c>
      <c r="J732">
        <f t="shared" si="45"/>
        <v>5502</v>
      </c>
      <c r="K732">
        <v>0</v>
      </c>
      <c r="L732">
        <f t="shared" si="46"/>
        <v>0</v>
      </c>
      <c r="M732">
        <v>0</v>
      </c>
      <c r="N732">
        <f t="shared" si="47"/>
        <v>0</v>
      </c>
    </row>
    <row r="733" spans="1:14" x14ac:dyDescent="0.25">
      <c r="A733">
        <f>VLOOKUP(B733,Calculations!$A$2:$B$10,2)+VLOOKUP(C733,Calculations!$C$2:$D$7,2)+VLOOKUP(D733,Calculations!$E$2:$F$6,2)+VLOOKUP(E733,Calculations!$G$2:$H$6,2)</f>
        <v>5503</v>
      </c>
      <c r="B733" t="s">
        <v>5</v>
      </c>
      <c r="C733" t="s">
        <v>19</v>
      </c>
      <c r="D733" t="s">
        <v>14</v>
      </c>
      <c r="E733" t="s">
        <v>28</v>
      </c>
      <c r="F733">
        <v>1</v>
      </c>
      <c r="G733">
        <v>1</v>
      </c>
      <c r="H733">
        <f t="shared" si="44"/>
        <v>5503</v>
      </c>
      <c r="I733">
        <v>1</v>
      </c>
      <c r="J733">
        <f t="shared" si="45"/>
        <v>5503</v>
      </c>
      <c r="K733">
        <v>0</v>
      </c>
      <c r="L733">
        <f t="shared" si="46"/>
        <v>0</v>
      </c>
      <c r="M733">
        <v>0</v>
      </c>
      <c r="N733">
        <f t="shared" si="47"/>
        <v>0</v>
      </c>
    </row>
    <row r="734" spans="1:14" x14ac:dyDescent="0.25">
      <c r="A734">
        <f>VLOOKUP(B734,Calculations!$A$2:$B$10,2)+VLOOKUP(C734,Calculations!$C$2:$D$7,2)+VLOOKUP(D734,Calculations!$E$2:$F$6,2)+VLOOKUP(E734,Calculations!$G$2:$H$6,2)</f>
        <v>5504</v>
      </c>
      <c r="B734" t="s">
        <v>5</v>
      </c>
      <c r="C734" t="s">
        <v>19</v>
      </c>
      <c r="D734" t="s">
        <v>15</v>
      </c>
      <c r="E734" t="s">
        <v>28</v>
      </c>
      <c r="F734">
        <v>0</v>
      </c>
      <c r="G734">
        <v>0</v>
      </c>
      <c r="H734">
        <f t="shared" si="44"/>
        <v>0</v>
      </c>
      <c r="I734">
        <v>0</v>
      </c>
      <c r="J734">
        <f t="shared" si="45"/>
        <v>0</v>
      </c>
      <c r="K734">
        <v>0</v>
      </c>
      <c r="L734">
        <f t="shared" si="46"/>
        <v>0</v>
      </c>
      <c r="M734">
        <v>0</v>
      </c>
      <c r="N734">
        <f t="shared" si="47"/>
        <v>0</v>
      </c>
    </row>
    <row r="735" spans="1:14" x14ac:dyDescent="0.25">
      <c r="A735">
        <f>VLOOKUP(B735,Calculations!$A$2:$B$10,2)+VLOOKUP(C735,Calculations!$C$2:$D$7,2)+VLOOKUP(D735,Calculations!$E$2:$F$6,2)+VLOOKUP(E735,Calculations!$G$2:$H$6,2)</f>
        <v>5511</v>
      </c>
      <c r="B735" t="s">
        <v>6</v>
      </c>
      <c r="C735" t="s">
        <v>19</v>
      </c>
      <c r="D735" t="s">
        <v>54</v>
      </c>
      <c r="E735" t="s">
        <v>28</v>
      </c>
      <c r="F735">
        <v>1</v>
      </c>
      <c r="G735">
        <v>1</v>
      </c>
      <c r="H735">
        <f t="shared" si="44"/>
        <v>5511</v>
      </c>
      <c r="I735">
        <v>1</v>
      </c>
      <c r="J735">
        <f t="shared" si="45"/>
        <v>5511</v>
      </c>
      <c r="K735">
        <v>0</v>
      </c>
      <c r="L735">
        <f t="shared" si="46"/>
        <v>0</v>
      </c>
      <c r="M735">
        <v>0</v>
      </c>
      <c r="N735">
        <f t="shared" si="47"/>
        <v>0</v>
      </c>
    </row>
    <row r="736" spans="1:14" x14ac:dyDescent="0.25">
      <c r="A736">
        <f>VLOOKUP(B736,Calculations!$A$2:$B$10,2)+VLOOKUP(C736,Calculations!$C$2:$D$7,2)+VLOOKUP(D736,Calculations!$E$2:$F$6,2)+VLOOKUP(E736,Calculations!$G$2:$H$6,2)</f>
        <v>5512</v>
      </c>
      <c r="B736" t="s">
        <v>6</v>
      </c>
      <c r="C736" t="s">
        <v>19</v>
      </c>
      <c r="D736" t="s">
        <v>13</v>
      </c>
      <c r="E736" t="s">
        <v>28</v>
      </c>
      <c r="F736">
        <v>1</v>
      </c>
      <c r="G736">
        <v>1</v>
      </c>
      <c r="H736">
        <f t="shared" si="44"/>
        <v>5512</v>
      </c>
      <c r="I736">
        <v>1</v>
      </c>
      <c r="J736">
        <f t="shared" si="45"/>
        <v>5512</v>
      </c>
      <c r="K736">
        <v>0</v>
      </c>
      <c r="L736">
        <f t="shared" si="46"/>
        <v>0</v>
      </c>
      <c r="M736">
        <v>0</v>
      </c>
      <c r="N736">
        <f t="shared" si="47"/>
        <v>0</v>
      </c>
    </row>
    <row r="737" spans="1:14" x14ac:dyDescent="0.25">
      <c r="A737">
        <f>VLOOKUP(B737,Calculations!$A$2:$B$10,2)+VLOOKUP(C737,Calculations!$C$2:$D$7,2)+VLOOKUP(D737,Calculations!$E$2:$F$6,2)+VLOOKUP(E737,Calculations!$G$2:$H$6,2)</f>
        <v>5513</v>
      </c>
      <c r="B737" t="s">
        <v>6</v>
      </c>
      <c r="C737" t="s">
        <v>19</v>
      </c>
      <c r="D737" t="s">
        <v>14</v>
      </c>
      <c r="E737" t="s">
        <v>28</v>
      </c>
      <c r="F737">
        <v>1</v>
      </c>
      <c r="G737">
        <v>1</v>
      </c>
      <c r="H737">
        <f t="shared" si="44"/>
        <v>5513</v>
      </c>
      <c r="I737">
        <v>1</v>
      </c>
      <c r="J737">
        <f t="shared" si="45"/>
        <v>5513</v>
      </c>
      <c r="K737">
        <v>0</v>
      </c>
      <c r="L737">
        <f t="shared" si="46"/>
        <v>0</v>
      </c>
      <c r="M737">
        <v>0</v>
      </c>
      <c r="N737">
        <f t="shared" si="47"/>
        <v>0</v>
      </c>
    </row>
    <row r="738" spans="1:14" x14ac:dyDescent="0.25">
      <c r="A738">
        <f>VLOOKUP(B738,Calculations!$A$2:$B$10,2)+VLOOKUP(C738,Calculations!$C$2:$D$7,2)+VLOOKUP(D738,Calculations!$E$2:$F$6,2)+VLOOKUP(E738,Calculations!$G$2:$H$6,2)</f>
        <v>5514</v>
      </c>
      <c r="B738" t="s">
        <v>6</v>
      </c>
      <c r="C738" t="s">
        <v>19</v>
      </c>
      <c r="D738" t="s">
        <v>15</v>
      </c>
      <c r="E738" t="s">
        <v>28</v>
      </c>
      <c r="F738">
        <v>0</v>
      </c>
      <c r="G738">
        <v>0</v>
      </c>
      <c r="H738">
        <f t="shared" si="44"/>
        <v>0</v>
      </c>
      <c r="I738">
        <v>0</v>
      </c>
      <c r="J738">
        <f t="shared" si="45"/>
        <v>0</v>
      </c>
      <c r="K738">
        <v>0</v>
      </c>
      <c r="L738">
        <f t="shared" si="46"/>
        <v>0</v>
      </c>
      <c r="M738">
        <v>0</v>
      </c>
      <c r="N738">
        <f t="shared" si="47"/>
        <v>0</v>
      </c>
    </row>
    <row r="739" spans="1:14" x14ac:dyDescent="0.25">
      <c r="A739">
        <f>VLOOKUP(B739,Calculations!$A$2:$B$10,2)+VLOOKUP(C739,Calculations!$C$2:$D$7,2)+VLOOKUP(D739,Calculations!$E$2:$F$6,2)+VLOOKUP(E739,Calculations!$G$2:$H$6,2)</f>
        <v>5521</v>
      </c>
      <c r="B739" t="s">
        <v>7</v>
      </c>
      <c r="C739" t="s">
        <v>19</v>
      </c>
      <c r="D739" t="s">
        <v>54</v>
      </c>
      <c r="E739" t="s">
        <v>28</v>
      </c>
      <c r="F739">
        <v>1</v>
      </c>
      <c r="G739">
        <v>1</v>
      </c>
      <c r="H739">
        <f t="shared" si="44"/>
        <v>5521</v>
      </c>
      <c r="I739">
        <v>1</v>
      </c>
      <c r="J739">
        <f t="shared" si="45"/>
        <v>5521</v>
      </c>
      <c r="K739">
        <v>0</v>
      </c>
      <c r="L739">
        <f t="shared" si="46"/>
        <v>0</v>
      </c>
      <c r="M739">
        <v>0</v>
      </c>
      <c r="N739">
        <f t="shared" si="47"/>
        <v>0</v>
      </c>
    </row>
    <row r="740" spans="1:14" x14ac:dyDescent="0.25">
      <c r="A740">
        <f>VLOOKUP(B740,Calculations!$A$2:$B$10,2)+VLOOKUP(C740,Calculations!$C$2:$D$7,2)+VLOOKUP(D740,Calculations!$E$2:$F$6,2)+VLOOKUP(E740,Calculations!$G$2:$H$6,2)</f>
        <v>5522</v>
      </c>
      <c r="B740" t="s">
        <v>7</v>
      </c>
      <c r="C740" t="s">
        <v>19</v>
      </c>
      <c r="D740" t="s">
        <v>13</v>
      </c>
      <c r="E740" t="s">
        <v>28</v>
      </c>
      <c r="F740">
        <v>1</v>
      </c>
      <c r="G740">
        <v>1</v>
      </c>
      <c r="H740">
        <f t="shared" si="44"/>
        <v>5522</v>
      </c>
      <c r="I740">
        <v>1</v>
      </c>
      <c r="J740">
        <f t="shared" si="45"/>
        <v>5522</v>
      </c>
      <c r="K740">
        <v>0</v>
      </c>
      <c r="L740">
        <f t="shared" si="46"/>
        <v>0</v>
      </c>
      <c r="M740">
        <v>0</v>
      </c>
      <c r="N740">
        <f t="shared" si="47"/>
        <v>0</v>
      </c>
    </row>
    <row r="741" spans="1:14" x14ac:dyDescent="0.25">
      <c r="A741">
        <f>VLOOKUP(B741,Calculations!$A$2:$B$10,2)+VLOOKUP(C741,Calculations!$C$2:$D$7,2)+VLOOKUP(D741,Calculations!$E$2:$F$6,2)+VLOOKUP(E741,Calculations!$G$2:$H$6,2)</f>
        <v>5523</v>
      </c>
      <c r="B741" t="s">
        <v>7</v>
      </c>
      <c r="C741" t="s">
        <v>19</v>
      </c>
      <c r="D741" t="s">
        <v>14</v>
      </c>
      <c r="E741" t="s">
        <v>28</v>
      </c>
      <c r="F741">
        <v>1</v>
      </c>
      <c r="G741">
        <v>1</v>
      </c>
      <c r="H741">
        <f t="shared" si="44"/>
        <v>5523</v>
      </c>
      <c r="I741">
        <v>1</v>
      </c>
      <c r="J741">
        <f t="shared" si="45"/>
        <v>5523</v>
      </c>
      <c r="K741">
        <v>0</v>
      </c>
      <c r="L741">
        <f t="shared" si="46"/>
        <v>0</v>
      </c>
      <c r="M741">
        <v>0</v>
      </c>
      <c r="N741">
        <f t="shared" si="47"/>
        <v>0</v>
      </c>
    </row>
    <row r="742" spans="1:14" x14ac:dyDescent="0.25">
      <c r="A742">
        <f>VLOOKUP(B742,Calculations!$A$2:$B$10,2)+VLOOKUP(C742,Calculations!$C$2:$D$7,2)+VLOOKUP(D742,Calculations!$E$2:$F$6,2)+VLOOKUP(E742,Calculations!$G$2:$H$6,2)</f>
        <v>5524</v>
      </c>
      <c r="B742" t="s">
        <v>7</v>
      </c>
      <c r="C742" t="s">
        <v>19</v>
      </c>
      <c r="D742" t="s">
        <v>15</v>
      </c>
      <c r="E742" t="s">
        <v>28</v>
      </c>
      <c r="F742">
        <v>1</v>
      </c>
      <c r="G742">
        <v>1</v>
      </c>
      <c r="H742">
        <f t="shared" si="44"/>
        <v>5524</v>
      </c>
      <c r="I742">
        <v>1</v>
      </c>
      <c r="J742">
        <f t="shared" si="45"/>
        <v>5524</v>
      </c>
      <c r="K742">
        <v>0</v>
      </c>
      <c r="L742">
        <f t="shared" si="46"/>
        <v>0</v>
      </c>
      <c r="M742">
        <v>0</v>
      </c>
      <c r="N742">
        <f t="shared" si="47"/>
        <v>0</v>
      </c>
    </row>
    <row r="743" spans="1:14" x14ac:dyDescent="0.25">
      <c r="A743">
        <f>VLOOKUP(B743,Calculations!$A$2:$B$10,2)+VLOOKUP(C743,Calculations!$C$2:$D$7,2)+VLOOKUP(D743,Calculations!$E$2:$F$6,2)+VLOOKUP(E743,Calculations!$G$2:$H$6,2)</f>
        <v>5531</v>
      </c>
      <c r="B743" t="s">
        <v>53</v>
      </c>
      <c r="C743" t="s">
        <v>19</v>
      </c>
      <c r="D743" t="s">
        <v>54</v>
      </c>
      <c r="E743" t="s">
        <v>28</v>
      </c>
      <c r="F743">
        <v>1</v>
      </c>
      <c r="G743">
        <v>1</v>
      </c>
      <c r="H743">
        <f t="shared" si="44"/>
        <v>5531</v>
      </c>
      <c r="I743">
        <v>1</v>
      </c>
      <c r="J743">
        <f t="shared" si="45"/>
        <v>5531</v>
      </c>
      <c r="K743">
        <v>0</v>
      </c>
      <c r="L743">
        <f t="shared" si="46"/>
        <v>0</v>
      </c>
      <c r="M743">
        <v>0</v>
      </c>
      <c r="N743">
        <f t="shared" si="47"/>
        <v>0</v>
      </c>
    </row>
    <row r="744" spans="1:14" x14ac:dyDescent="0.25">
      <c r="A744">
        <f>VLOOKUP(B744,Calculations!$A$2:$B$10,2)+VLOOKUP(C744,Calculations!$C$2:$D$7,2)+VLOOKUP(D744,Calculations!$E$2:$F$6,2)+VLOOKUP(E744,Calculations!$G$2:$H$6,2)</f>
        <v>5532</v>
      </c>
      <c r="B744" t="s">
        <v>53</v>
      </c>
      <c r="C744" t="s">
        <v>19</v>
      </c>
      <c r="D744" t="s">
        <v>13</v>
      </c>
      <c r="E744" t="s">
        <v>28</v>
      </c>
      <c r="F744">
        <v>1</v>
      </c>
      <c r="G744">
        <v>1</v>
      </c>
      <c r="H744">
        <f t="shared" si="44"/>
        <v>5532</v>
      </c>
      <c r="I744">
        <v>1</v>
      </c>
      <c r="J744">
        <f t="shared" si="45"/>
        <v>5532</v>
      </c>
      <c r="K744">
        <v>0</v>
      </c>
      <c r="L744">
        <f t="shared" si="46"/>
        <v>0</v>
      </c>
      <c r="M744">
        <v>0</v>
      </c>
      <c r="N744">
        <f t="shared" si="47"/>
        <v>0</v>
      </c>
    </row>
    <row r="745" spans="1:14" x14ac:dyDescent="0.25">
      <c r="A745">
        <f>VLOOKUP(B745,Calculations!$A$2:$B$10,2)+VLOOKUP(C745,Calculations!$C$2:$D$7,2)+VLOOKUP(D745,Calculations!$E$2:$F$6,2)+VLOOKUP(E745,Calculations!$G$2:$H$6,2)</f>
        <v>5533</v>
      </c>
      <c r="B745" t="s">
        <v>53</v>
      </c>
      <c r="C745" t="s">
        <v>19</v>
      </c>
      <c r="D745" t="s">
        <v>14</v>
      </c>
      <c r="E745" t="s">
        <v>28</v>
      </c>
      <c r="F745">
        <v>1</v>
      </c>
      <c r="G745">
        <v>1</v>
      </c>
      <c r="H745">
        <f t="shared" si="44"/>
        <v>5533</v>
      </c>
      <c r="I745">
        <v>1</v>
      </c>
      <c r="J745">
        <f t="shared" si="45"/>
        <v>5533</v>
      </c>
      <c r="K745">
        <v>0</v>
      </c>
      <c r="L745">
        <f t="shared" si="46"/>
        <v>0</v>
      </c>
      <c r="M745">
        <v>0</v>
      </c>
      <c r="N745">
        <f t="shared" si="47"/>
        <v>0</v>
      </c>
    </row>
    <row r="746" spans="1:14" x14ac:dyDescent="0.25">
      <c r="A746">
        <f>VLOOKUP(B746,Calculations!$A$2:$B$10,2)+VLOOKUP(C746,Calculations!$C$2:$D$7,2)+VLOOKUP(D746,Calculations!$E$2:$F$6,2)+VLOOKUP(E746,Calculations!$G$2:$H$6,2)</f>
        <v>5534</v>
      </c>
      <c r="B746" t="s">
        <v>53</v>
      </c>
      <c r="C746" t="s">
        <v>19</v>
      </c>
      <c r="D746" t="s">
        <v>15</v>
      </c>
      <c r="E746" t="s">
        <v>28</v>
      </c>
      <c r="F746">
        <v>1</v>
      </c>
      <c r="G746">
        <v>1</v>
      </c>
      <c r="H746">
        <f t="shared" si="44"/>
        <v>5534</v>
      </c>
      <c r="I746">
        <v>1</v>
      </c>
      <c r="J746">
        <f t="shared" si="45"/>
        <v>5534</v>
      </c>
      <c r="K746">
        <v>0</v>
      </c>
      <c r="L746">
        <f t="shared" si="46"/>
        <v>0</v>
      </c>
      <c r="M746">
        <v>0</v>
      </c>
      <c r="N746">
        <f t="shared" si="47"/>
        <v>0</v>
      </c>
    </row>
    <row r="747" spans="1:14" x14ac:dyDescent="0.25">
      <c r="A747">
        <f>VLOOKUP(B747,Calculations!$A$2:$B$10,2)+VLOOKUP(C747,Calculations!$C$2:$D$7,2)+VLOOKUP(D747,Calculations!$E$2:$F$6,2)+VLOOKUP(E747,Calculations!$G$2:$H$6,2)</f>
        <v>5541</v>
      </c>
      <c r="B747" t="s">
        <v>9</v>
      </c>
      <c r="C747" t="s">
        <v>19</v>
      </c>
      <c r="D747" t="s">
        <v>54</v>
      </c>
      <c r="E747" t="s">
        <v>28</v>
      </c>
      <c r="F747">
        <v>1</v>
      </c>
      <c r="G747">
        <v>1</v>
      </c>
      <c r="H747">
        <f t="shared" si="44"/>
        <v>5541</v>
      </c>
      <c r="I747">
        <v>1</v>
      </c>
      <c r="J747">
        <f t="shared" si="45"/>
        <v>5541</v>
      </c>
      <c r="K747">
        <v>0</v>
      </c>
      <c r="L747">
        <f t="shared" si="46"/>
        <v>0</v>
      </c>
      <c r="M747">
        <v>0</v>
      </c>
      <c r="N747">
        <f t="shared" si="47"/>
        <v>0</v>
      </c>
    </row>
    <row r="748" spans="1:14" x14ac:dyDescent="0.25">
      <c r="A748">
        <f>VLOOKUP(B748,Calculations!$A$2:$B$10,2)+VLOOKUP(C748,Calculations!$C$2:$D$7,2)+VLOOKUP(D748,Calculations!$E$2:$F$6,2)+VLOOKUP(E748,Calculations!$G$2:$H$6,2)</f>
        <v>5542</v>
      </c>
      <c r="B748" t="s">
        <v>9</v>
      </c>
      <c r="C748" t="s">
        <v>19</v>
      </c>
      <c r="D748" t="s">
        <v>13</v>
      </c>
      <c r="E748" t="s">
        <v>28</v>
      </c>
      <c r="F748">
        <v>0</v>
      </c>
      <c r="G748">
        <v>0</v>
      </c>
      <c r="H748">
        <f t="shared" si="44"/>
        <v>0</v>
      </c>
      <c r="I748">
        <v>0</v>
      </c>
      <c r="J748">
        <f t="shared" si="45"/>
        <v>0</v>
      </c>
      <c r="K748">
        <v>0</v>
      </c>
      <c r="L748">
        <f t="shared" si="46"/>
        <v>0</v>
      </c>
      <c r="M748">
        <v>0</v>
      </c>
      <c r="N748">
        <f t="shared" si="47"/>
        <v>0</v>
      </c>
    </row>
    <row r="749" spans="1:14" x14ac:dyDescent="0.25">
      <c r="A749">
        <f>VLOOKUP(B749,Calculations!$A$2:$B$10,2)+VLOOKUP(C749,Calculations!$C$2:$D$7,2)+VLOOKUP(D749,Calculations!$E$2:$F$6,2)+VLOOKUP(E749,Calculations!$G$2:$H$6,2)</f>
        <v>5543</v>
      </c>
      <c r="B749" t="s">
        <v>9</v>
      </c>
      <c r="C749" t="s">
        <v>19</v>
      </c>
      <c r="D749" t="s">
        <v>14</v>
      </c>
      <c r="E749" t="s">
        <v>28</v>
      </c>
      <c r="F749">
        <v>0</v>
      </c>
      <c r="G749">
        <v>0</v>
      </c>
      <c r="H749">
        <f t="shared" si="44"/>
        <v>0</v>
      </c>
      <c r="I749">
        <v>0</v>
      </c>
      <c r="J749">
        <f t="shared" si="45"/>
        <v>0</v>
      </c>
      <c r="K749">
        <v>0</v>
      </c>
      <c r="L749">
        <f t="shared" si="46"/>
        <v>0</v>
      </c>
      <c r="M749">
        <v>0</v>
      </c>
      <c r="N749">
        <f t="shared" si="47"/>
        <v>0</v>
      </c>
    </row>
    <row r="750" spans="1:14" x14ac:dyDescent="0.25">
      <c r="A750">
        <f>VLOOKUP(B750,Calculations!$A$2:$B$10,2)+VLOOKUP(C750,Calculations!$C$2:$D$7,2)+VLOOKUP(D750,Calculations!$E$2:$F$6,2)+VLOOKUP(E750,Calculations!$G$2:$H$6,2)</f>
        <v>5544</v>
      </c>
      <c r="B750" t="s">
        <v>9</v>
      </c>
      <c r="C750" t="s">
        <v>19</v>
      </c>
      <c r="D750" t="s">
        <v>15</v>
      </c>
      <c r="E750" t="s">
        <v>28</v>
      </c>
      <c r="F750">
        <v>0</v>
      </c>
      <c r="G750">
        <v>0</v>
      </c>
      <c r="H750">
        <f t="shared" si="44"/>
        <v>0</v>
      </c>
      <c r="I750">
        <v>0</v>
      </c>
      <c r="J750">
        <f t="shared" si="45"/>
        <v>0</v>
      </c>
      <c r="K750">
        <v>0</v>
      </c>
      <c r="L750">
        <f t="shared" si="46"/>
        <v>0</v>
      </c>
      <c r="M750">
        <v>0</v>
      </c>
      <c r="N750">
        <f t="shared" si="47"/>
        <v>0</v>
      </c>
    </row>
    <row r="751" spans="1:14" x14ac:dyDescent="0.25">
      <c r="A751">
        <f>VLOOKUP(B751,Calculations!$A$2:$B$10,2)+VLOOKUP(C751,Calculations!$C$2:$D$7,2)+VLOOKUP(D751,Calculations!$E$2:$F$6,2)+VLOOKUP(E751,Calculations!$G$2:$H$6,2)</f>
        <v>5551</v>
      </c>
      <c r="B751" t="s">
        <v>50</v>
      </c>
      <c r="C751" t="s">
        <v>19</v>
      </c>
      <c r="D751" t="s">
        <v>54</v>
      </c>
      <c r="E751" t="s">
        <v>28</v>
      </c>
      <c r="F751">
        <v>1</v>
      </c>
      <c r="G751">
        <v>1</v>
      </c>
      <c r="H751">
        <f t="shared" si="44"/>
        <v>5551</v>
      </c>
      <c r="I751">
        <v>1</v>
      </c>
      <c r="J751">
        <f t="shared" si="45"/>
        <v>5551</v>
      </c>
      <c r="K751">
        <v>0</v>
      </c>
      <c r="L751">
        <f t="shared" si="46"/>
        <v>0</v>
      </c>
      <c r="M751">
        <v>0</v>
      </c>
      <c r="N751">
        <f t="shared" si="47"/>
        <v>0</v>
      </c>
    </row>
    <row r="752" spans="1:14" x14ac:dyDescent="0.25">
      <c r="A752">
        <f>VLOOKUP(B752,Calculations!$A$2:$B$10,2)+VLOOKUP(C752,Calculations!$C$2:$D$7,2)+VLOOKUP(D752,Calculations!$E$2:$F$6,2)+VLOOKUP(E752,Calculations!$G$2:$H$6,2)</f>
        <v>5552</v>
      </c>
      <c r="B752" t="s">
        <v>50</v>
      </c>
      <c r="C752" t="s">
        <v>19</v>
      </c>
      <c r="D752" t="s">
        <v>13</v>
      </c>
      <c r="E752" t="s">
        <v>28</v>
      </c>
      <c r="F752">
        <v>1</v>
      </c>
      <c r="G752">
        <v>1</v>
      </c>
      <c r="H752">
        <f t="shared" si="44"/>
        <v>5552</v>
      </c>
      <c r="I752">
        <v>1</v>
      </c>
      <c r="J752">
        <f t="shared" si="45"/>
        <v>5552</v>
      </c>
      <c r="K752">
        <v>0</v>
      </c>
      <c r="L752">
        <f t="shared" si="46"/>
        <v>0</v>
      </c>
      <c r="M752">
        <v>0</v>
      </c>
      <c r="N752">
        <f t="shared" si="47"/>
        <v>0</v>
      </c>
    </row>
    <row r="753" spans="1:14" x14ac:dyDescent="0.25">
      <c r="A753">
        <f>VLOOKUP(B753,Calculations!$A$2:$B$10,2)+VLOOKUP(C753,Calculations!$C$2:$D$7,2)+VLOOKUP(D753,Calculations!$E$2:$F$6,2)+VLOOKUP(E753,Calculations!$G$2:$H$6,2)</f>
        <v>5553</v>
      </c>
      <c r="B753" t="s">
        <v>50</v>
      </c>
      <c r="C753" t="s">
        <v>19</v>
      </c>
      <c r="D753" t="s">
        <v>14</v>
      </c>
      <c r="E753" t="s">
        <v>28</v>
      </c>
      <c r="F753">
        <v>1</v>
      </c>
      <c r="G753">
        <v>1</v>
      </c>
      <c r="H753">
        <f t="shared" si="44"/>
        <v>5553</v>
      </c>
      <c r="I753">
        <v>1</v>
      </c>
      <c r="J753">
        <f t="shared" si="45"/>
        <v>5553</v>
      </c>
      <c r="K753">
        <v>0</v>
      </c>
      <c r="L753">
        <f t="shared" si="46"/>
        <v>0</v>
      </c>
      <c r="M753">
        <v>0</v>
      </c>
      <c r="N753">
        <f t="shared" si="47"/>
        <v>0</v>
      </c>
    </row>
    <row r="754" spans="1:14" x14ac:dyDescent="0.25">
      <c r="A754">
        <f>VLOOKUP(B754,Calculations!$A$2:$B$10,2)+VLOOKUP(C754,Calculations!$C$2:$D$7,2)+VLOOKUP(D754,Calculations!$E$2:$F$6,2)+VLOOKUP(E754,Calculations!$G$2:$H$6,2)</f>
        <v>5554</v>
      </c>
      <c r="B754" t="s">
        <v>50</v>
      </c>
      <c r="C754" t="s">
        <v>19</v>
      </c>
      <c r="D754" t="s">
        <v>15</v>
      </c>
      <c r="E754" t="s">
        <v>28</v>
      </c>
      <c r="F754">
        <v>1</v>
      </c>
      <c r="G754">
        <v>1</v>
      </c>
      <c r="H754">
        <f t="shared" si="44"/>
        <v>5554</v>
      </c>
      <c r="I754">
        <v>1</v>
      </c>
      <c r="J754">
        <f t="shared" si="45"/>
        <v>5554</v>
      </c>
      <c r="K754">
        <v>0</v>
      </c>
      <c r="L754">
        <f t="shared" si="46"/>
        <v>0</v>
      </c>
      <c r="M754">
        <v>0</v>
      </c>
      <c r="N754">
        <f t="shared" si="47"/>
        <v>0</v>
      </c>
    </row>
    <row r="755" spans="1:14" x14ac:dyDescent="0.25">
      <c r="A755">
        <f>VLOOKUP(B755,Calculations!$A$2:$B$10,2)+VLOOKUP(C755,Calculations!$C$2:$D$7,2)+VLOOKUP(D755,Calculations!$E$2:$F$6,2)+VLOOKUP(E755,Calculations!$G$2:$H$6,2)</f>
        <v>5561</v>
      </c>
      <c r="B755" t="s">
        <v>51</v>
      </c>
      <c r="C755" t="s">
        <v>19</v>
      </c>
      <c r="D755" t="s">
        <v>54</v>
      </c>
      <c r="E755" t="s">
        <v>28</v>
      </c>
      <c r="F755">
        <v>1</v>
      </c>
      <c r="G755">
        <v>0</v>
      </c>
      <c r="H755">
        <f t="shared" si="44"/>
        <v>0</v>
      </c>
      <c r="I755">
        <v>1</v>
      </c>
      <c r="J755">
        <f t="shared" si="45"/>
        <v>5561</v>
      </c>
      <c r="K755">
        <v>0</v>
      </c>
      <c r="L755">
        <f t="shared" si="46"/>
        <v>0</v>
      </c>
      <c r="M755">
        <v>0</v>
      </c>
      <c r="N755">
        <f t="shared" si="47"/>
        <v>0</v>
      </c>
    </row>
    <row r="756" spans="1:14" x14ac:dyDescent="0.25">
      <c r="A756">
        <f>VLOOKUP(B756,Calculations!$A$2:$B$10,2)+VLOOKUP(C756,Calculations!$C$2:$D$7,2)+VLOOKUP(D756,Calculations!$E$2:$F$6,2)+VLOOKUP(E756,Calculations!$G$2:$H$6,2)</f>
        <v>5562</v>
      </c>
      <c r="B756" t="s">
        <v>51</v>
      </c>
      <c r="C756" t="s">
        <v>19</v>
      </c>
      <c r="D756" t="s">
        <v>13</v>
      </c>
      <c r="E756" t="s">
        <v>28</v>
      </c>
      <c r="F756">
        <v>1</v>
      </c>
      <c r="G756">
        <v>0</v>
      </c>
      <c r="H756">
        <f t="shared" si="44"/>
        <v>0</v>
      </c>
      <c r="I756">
        <v>1</v>
      </c>
      <c r="J756">
        <f t="shared" si="45"/>
        <v>5562</v>
      </c>
      <c r="K756">
        <v>0</v>
      </c>
      <c r="L756">
        <f t="shared" si="46"/>
        <v>0</v>
      </c>
      <c r="M756">
        <v>0</v>
      </c>
      <c r="N756">
        <f t="shared" si="47"/>
        <v>0</v>
      </c>
    </row>
    <row r="757" spans="1:14" x14ac:dyDescent="0.25">
      <c r="A757">
        <f>VLOOKUP(B757,Calculations!$A$2:$B$10,2)+VLOOKUP(C757,Calculations!$C$2:$D$7,2)+VLOOKUP(D757,Calculations!$E$2:$F$6,2)+VLOOKUP(E757,Calculations!$G$2:$H$6,2)</f>
        <v>5563</v>
      </c>
      <c r="B757" t="s">
        <v>51</v>
      </c>
      <c r="C757" t="s">
        <v>19</v>
      </c>
      <c r="D757" t="s">
        <v>14</v>
      </c>
      <c r="E757" t="s">
        <v>28</v>
      </c>
      <c r="F757">
        <v>1</v>
      </c>
      <c r="G757">
        <v>0</v>
      </c>
      <c r="H757">
        <f t="shared" si="44"/>
        <v>0</v>
      </c>
      <c r="I757">
        <v>1</v>
      </c>
      <c r="J757">
        <f t="shared" si="45"/>
        <v>5563</v>
      </c>
      <c r="K757">
        <v>0</v>
      </c>
      <c r="L757">
        <f t="shared" si="46"/>
        <v>0</v>
      </c>
      <c r="M757">
        <v>0</v>
      </c>
      <c r="N757">
        <f t="shared" si="47"/>
        <v>0</v>
      </c>
    </row>
    <row r="758" spans="1:14" x14ac:dyDescent="0.25">
      <c r="A758">
        <f>VLOOKUP(B758,Calculations!$A$2:$B$10,2)+VLOOKUP(C758,Calculations!$C$2:$D$7,2)+VLOOKUP(D758,Calculations!$E$2:$F$6,2)+VLOOKUP(E758,Calculations!$G$2:$H$6,2)</f>
        <v>5564</v>
      </c>
      <c r="B758" t="s">
        <v>51</v>
      </c>
      <c r="C758" t="s">
        <v>19</v>
      </c>
      <c r="D758" t="s">
        <v>15</v>
      </c>
      <c r="E758" t="s">
        <v>28</v>
      </c>
      <c r="F758">
        <v>1</v>
      </c>
      <c r="G758">
        <v>0</v>
      </c>
      <c r="H758">
        <f t="shared" si="44"/>
        <v>0</v>
      </c>
      <c r="I758">
        <v>1</v>
      </c>
      <c r="J758">
        <f t="shared" si="45"/>
        <v>5564</v>
      </c>
      <c r="K758">
        <v>0</v>
      </c>
      <c r="L758">
        <f t="shared" si="46"/>
        <v>0</v>
      </c>
      <c r="M758">
        <v>0</v>
      </c>
      <c r="N758">
        <f t="shared" si="47"/>
        <v>0</v>
      </c>
    </row>
    <row r="759" spans="1:14" x14ac:dyDescent="0.25">
      <c r="A759">
        <f>VLOOKUP(B759,Calculations!$A$2:$B$10,2)+VLOOKUP(C759,Calculations!$C$2:$D$7,2)+VLOOKUP(D759,Calculations!$E$2:$F$6,2)+VLOOKUP(E759,Calculations!$G$2:$H$6,2)</f>
        <v>5571</v>
      </c>
      <c r="B759" t="s">
        <v>52</v>
      </c>
      <c r="C759" t="s">
        <v>19</v>
      </c>
      <c r="D759" t="s">
        <v>54</v>
      </c>
      <c r="E759" t="s">
        <v>28</v>
      </c>
      <c r="F759">
        <v>1</v>
      </c>
      <c r="G759">
        <v>1</v>
      </c>
      <c r="H759">
        <f t="shared" si="44"/>
        <v>5571</v>
      </c>
      <c r="I759">
        <v>1</v>
      </c>
      <c r="J759">
        <f t="shared" si="45"/>
        <v>5571</v>
      </c>
      <c r="K759">
        <v>0</v>
      </c>
      <c r="L759">
        <f t="shared" si="46"/>
        <v>0</v>
      </c>
      <c r="M759">
        <v>0</v>
      </c>
      <c r="N759">
        <f t="shared" si="47"/>
        <v>0</v>
      </c>
    </row>
    <row r="760" spans="1:14" x14ac:dyDescent="0.25">
      <c r="A760">
        <f>VLOOKUP(B760,Calculations!$A$2:$B$10,2)+VLOOKUP(C760,Calculations!$C$2:$D$7,2)+VLOOKUP(D760,Calculations!$E$2:$F$6,2)+VLOOKUP(E760,Calculations!$G$2:$H$6,2)</f>
        <v>5572</v>
      </c>
      <c r="B760" t="s">
        <v>52</v>
      </c>
      <c r="C760" t="s">
        <v>19</v>
      </c>
      <c r="D760" t="s">
        <v>13</v>
      </c>
      <c r="E760" t="s">
        <v>28</v>
      </c>
      <c r="F760">
        <v>1</v>
      </c>
      <c r="G760">
        <v>1</v>
      </c>
      <c r="H760">
        <f t="shared" si="44"/>
        <v>5572</v>
      </c>
      <c r="I760">
        <v>1</v>
      </c>
      <c r="J760">
        <f t="shared" si="45"/>
        <v>5572</v>
      </c>
      <c r="K760">
        <v>0</v>
      </c>
      <c r="L760">
        <f t="shared" si="46"/>
        <v>0</v>
      </c>
      <c r="M760">
        <v>0</v>
      </c>
      <c r="N760">
        <f t="shared" si="47"/>
        <v>0</v>
      </c>
    </row>
    <row r="761" spans="1:14" x14ac:dyDescent="0.25">
      <c r="A761">
        <f>VLOOKUP(B761,Calculations!$A$2:$B$10,2)+VLOOKUP(C761,Calculations!$C$2:$D$7,2)+VLOOKUP(D761,Calculations!$E$2:$F$6,2)+VLOOKUP(E761,Calculations!$G$2:$H$6,2)</f>
        <v>5573</v>
      </c>
      <c r="B761" t="s">
        <v>52</v>
      </c>
      <c r="C761" t="s">
        <v>19</v>
      </c>
      <c r="D761" t="s">
        <v>14</v>
      </c>
      <c r="E761" t="s">
        <v>28</v>
      </c>
      <c r="F761">
        <v>1</v>
      </c>
      <c r="G761">
        <v>1</v>
      </c>
      <c r="H761">
        <f t="shared" si="44"/>
        <v>5573</v>
      </c>
      <c r="I761">
        <v>1</v>
      </c>
      <c r="J761">
        <f t="shared" si="45"/>
        <v>5573</v>
      </c>
      <c r="K761">
        <v>0</v>
      </c>
      <c r="L761">
        <f t="shared" si="46"/>
        <v>0</v>
      </c>
      <c r="M761">
        <v>0</v>
      </c>
      <c r="N761">
        <f t="shared" si="47"/>
        <v>0</v>
      </c>
    </row>
    <row r="762" spans="1:14" x14ac:dyDescent="0.25">
      <c r="A762">
        <f>VLOOKUP(B762,Calculations!$A$2:$B$10,2)+VLOOKUP(C762,Calculations!$C$2:$D$7,2)+VLOOKUP(D762,Calculations!$E$2:$F$6,2)+VLOOKUP(E762,Calculations!$G$2:$H$6,2)</f>
        <v>5574</v>
      </c>
      <c r="B762" t="s">
        <v>52</v>
      </c>
      <c r="C762" t="s">
        <v>19</v>
      </c>
      <c r="D762" t="s">
        <v>15</v>
      </c>
      <c r="E762" t="s">
        <v>28</v>
      </c>
      <c r="F762">
        <v>1</v>
      </c>
      <c r="G762">
        <v>1</v>
      </c>
      <c r="H762">
        <f t="shared" si="44"/>
        <v>5574</v>
      </c>
      <c r="I762">
        <v>1</v>
      </c>
      <c r="J762">
        <f t="shared" si="45"/>
        <v>5574</v>
      </c>
      <c r="K762">
        <v>0</v>
      </c>
      <c r="L762">
        <f t="shared" si="46"/>
        <v>0</v>
      </c>
      <c r="M762">
        <v>0</v>
      </c>
      <c r="N762">
        <f t="shared" si="47"/>
        <v>0</v>
      </c>
    </row>
    <row r="763" spans="1:14" x14ac:dyDescent="0.25">
      <c r="A763">
        <f>VLOOKUP(B763,Calculations!$A$2:$B$10,2)+VLOOKUP(C763,Calculations!$C$2:$D$7,2)+VLOOKUP(D763,Calculations!$E$2:$F$6,2)+VLOOKUP(E763,Calculations!$G$2:$H$6,2)</f>
        <v>5581</v>
      </c>
      <c r="B763" t="s">
        <v>8</v>
      </c>
      <c r="C763" t="s">
        <v>19</v>
      </c>
      <c r="D763" t="s">
        <v>54</v>
      </c>
      <c r="E763" t="s">
        <v>28</v>
      </c>
      <c r="F763">
        <v>1</v>
      </c>
      <c r="G763">
        <v>1</v>
      </c>
      <c r="H763">
        <f t="shared" si="44"/>
        <v>5581</v>
      </c>
      <c r="I763">
        <v>1</v>
      </c>
      <c r="J763">
        <f t="shared" si="45"/>
        <v>5581</v>
      </c>
      <c r="K763">
        <v>0</v>
      </c>
      <c r="L763">
        <f t="shared" si="46"/>
        <v>0</v>
      </c>
      <c r="M763">
        <v>0</v>
      </c>
      <c r="N763">
        <f t="shared" si="47"/>
        <v>0</v>
      </c>
    </row>
    <row r="764" spans="1:14" x14ac:dyDescent="0.25">
      <c r="A764">
        <f>VLOOKUP(B764,Calculations!$A$2:$B$10,2)+VLOOKUP(C764,Calculations!$C$2:$D$7,2)+VLOOKUP(D764,Calculations!$E$2:$F$6,2)+VLOOKUP(E764,Calculations!$G$2:$H$6,2)</f>
        <v>5582</v>
      </c>
      <c r="B764" t="s">
        <v>8</v>
      </c>
      <c r="C764" t="s">
        <v>19</v>
      </c>
      <c r="D764" t="s">
        <v>13</v>
      </c>
      <c r="E764" t="s">
        <v>28</v>
      </c>
      <c r="F764">
        <v>1</v>
      </c>
      <c r="G764">
        <v>1</v>
      </c>
      <c r="H764">
        <f t="shared" si="44"/>
        <v>5582</v>
      </c>
      <c r="I764">
        <v>1</v>
      </c>
      <c r="J764">
        <f t="shared" si="45"/>
        <v>5582</v>
      </c>
      <c r="K764">
        <v>0</v>
      </c>
      <c r="L764">
        <f t="shared" si="46"/>
        <v>0</v>
      </c>
      <c r="M764">
        <v>0</v>
      </c>
      <c r="N764">
        <f t="shared" si="47"/>
        <v>0</v>
      </c>
    </row>
    <row r="765" spans="1:14" x14ac:dyDescent="0.25">
      <c r="A765">
        <f>VLOOKUP(B765,Calculations!$A$2:$B$10,2)+VLOOKUP(C765,Calculations!$C$2:$D$7,2)+VLOOKUP(D765,Calculations!$E$2:$F$6,2)+VLOOKUP(E765,Calculations!$G$2:$H$6,2)</f>
        <v>5583</v>
      </c>
      <c r="B765" t="s">
        <v>8</v>
      </c>
      <c r="C765" t="s">
        <v>19</v>
      </c>
      <c r="D765" t="s">
        <v>14</v>
      </c>
      <c r="E765" t="s">
        <v>28</v>
      </c>
      <c r="F765">
        <v>1</v>
      </c>
      <c r="G765">
        <v>1</v>
      </c>
      <c r="H765">
        <f t="shared" si="44"/>
        <v>5583</v>
      </c>
      <c r="I765">
        <v>1</v>
      </c>
      <c r="J765">
        <f t="shared" si="45"/>
        <v>5583</v>
      </c>
      <c r="K765">
        <v>0</v>
      </c>
      <c r="L765">
        <f t="shared" si="46"/>
        <v>0</v>
      </c>
      <c r="M765">
        <v>0</v>
      </c>
      <c r="N765">
        <f t="shared" si="47"/>
        <v>0</v>
      </c>
    </row>
    <row r="766" spans="1:14" x14ac:dyDescent="0.25">
      <c r="A766">
        <f>VLOOKUP(B766,Calculations!$A$2:$B$10,2)+VLOOKUP(C766,Calculations!$C$2:$D$7,2)+VLOOKUP(D766,Calculations!$E$2:$F$6,2)+VLOOKUP(E766,Calculations!$G$2:$H$6,2)</f>
        <v>5584</v>
      </c>
      <c r="B766" t="s">
        <v>8</v>
      </c>
      <c r="C766" t="s">
        <v>19</v>
      </c>
      <c r="D766" t="s">
        <v>15</v>
      </c>
      <c r="E766" t="s">
        <v>28</v>
      </c>
      <c r="F766">
        <v>1</v>
      </c>
      <c r="G766">
        <v>1</v>
      </c>
      <c r="H766">
        <f t="shared" si="44"/>
        <v>5584</v>
      </c>
      <c r="I766">
        <v>1</v>
      </c>
      <c r="J766">
        <f t="shared" si="45"/>
        <v>5584</v>
      </c>
      <c r="K766">
        <v>0</v>
      </c>
      <c r="L766">
        <f t="shared" si="46"/>
        <v>0</v>
      </c>
      <c r="M766">
        <v>0</v>
      </c>
      <c r="N766">
        <f t="shared" si="47"/>
        <v>0</v>
      </c>
    </row>
    <row r="767" spans="1:14" x14ac:dyDescent="0.25">
      <c r="A767">
        <f>VLOOKUP(B767,Calculations!$A$2:$B$10,2)+VLOOKUP(C767,Calculations!$C$2:$D$7,2)+VLOOKUP(D767,Calculations!$E$2:$F$6,2)+VLOOKUP(E767,Calculations!$G$2:$H$6,2)</f>
        <v>6200</v>
      </c>
      <c r="B767" t="s">
        <v>5</v>
      </c>
      <c r="C767" t="s">
        <v>20</v>
      </c>
      <c r="D767" t="s">
        <v>12</v>
      </c>
      <c r="E767" t="s">
        <v>30</v>
      </c>
      <c r="F767">
        <v>1</v>
      </c>
      <c r="G767">
        <v>1</v>
      </c>
      <c r="H767">
        <f t="shared" si="44"/>
        <v>6200</v>
      </c>
      <c r="I767">
        <v>0</v>
      </c>
      <c r="J767">
        <f t="shared" si="45"/>
        <v>0</v>
      </c>
      <c r="K767">
        <v>0</v>
      </c>
      <c r="L767">
        <f t="shared" si="46"/>
        <v>0</v>
      </c>
      <c r="M767">
        <v>0</v>
      </c>
      <c r="N767">
        <f t="shared" si="47"/>
        <v>0</v>
      </c>
    </row>
    <row r="768" spans="1:14" x14ac:dyDescent="0.25">
      <c r="A768">
        <f>VLOOKUP(B768,Calculations!$A$2:$B$10,2)+VLOOKUP(C768,Calculations!$C$2:$D$7,2)+VLOOKUP(D768,Calculations!$E$2:$F$6,2)+VLOOKUP(E768,Calculations!$G$2:$H$6,2)</f>
        <v>6210</v>
      </c>
      <c r="B768" t="s">
        <v>6</v>
      </c>
      <c r="C768" t="s">
        <v>20</v>
      </c>
      <c r="D768" t="s">
        <v>12</v>
      </c>
      <c r="E768" t="s">
        <v>30</v>
      </c>
      <c r="F768">
        <v>1</v>
      </c>
      <c r="G768">
        <v>1</v>
      </c>
      <c r="H768">
        <f t="shared" si="44"/>
        <v>6210</v>
      </c>
      <c r="I768">
        <v>0</v>
      </c>
      <c r="J768">
        <f t="shared" si="45"/>
        <v>0</v>
      </c>
      <c r="K768">
        <v>0</v>
      </c>
      <c r="L768">
        <f t="shared" si="46"/>
        <v>0</v>
      </c>
      <c r="M768">
        <v>0</v>
      </c>
      <c r="N768">
        <f t="shared" si="47"/>
        <v>0</v>
      </c>
    </row>
    <row r="769" spans="1:14" x14ac:dyDescent="0.25">
      <c r="A769">
        <f>VLOOKUP(B769,Calculations!$A$2:$B$10,2)+VLOOKUP(C769,Calculations!$C$2:$D$7,2)+VLOOKUP(D769,Calculations!$E$2:$F$6,2)+VLOOKUP(E769,Calculations!$G$2:$H$6,2)</f>
        <v>6220</v>
      </c>
      <c r="B769" t="s">
        <v>7</v>
      </c>
      <c r="C769" t="s">
        <v>20</v>
      </c>
      <c r="D769" t="s">
        <v>12</v>
      </c>
      <c r="E769" t="s">
        <v>30</v>
      </c>
      <c r="F769">
        <v>1</v>
      </c>
      <c r="G769">
        <v>1</v>
      </c>
      <c r="H769">
        <f t="shared" si="44"/>
        <v>6220</v>
      </c>
      <c r="I769">
        <v>0</v>
      </c>
      <c r="J769">
        <f t="shared" si="45"/>
        <v>0</v>
      </c>
      <c r="K769">
        <v>0</v>
      </c>
      <c r="L769">
        <f t="shared" si="46"/>
        <v>0</v>
      </c>
      <c r="M769">
        <v>0</v>
      </c>
      <c r="N769">
        <f t="shared" si="47"/>
        <v>0</v>
      </c>
    </row>
    <row r="770" spans="1:14" x14ac:dyDescent="0.25">
      <c r="A770">
        <f>VLOOKUP(B770,Calculations!$A$2:$B$10,2)+VLOOKUP(C770,Calculations!$C$2:$D$7,2)+VLOOKUP(D770,Calculations!$E$2:$F$6,2)+VLOOKUP(E770,Calculations!$G$2:$H$6,2)</f>
        <v>6230</v>
      </c>
      <c r="B770" t="s">
        <v>53</v>
      </c>
      <c r="C770" t="s">
        <v>20</v>
      </c>
      <c r="D770" t="s">
        <v>12</v>
      </c>
      <c r="E770" t="s">
        <v>30</v>
      </c>
      <c r="F770">
        <v>1</v>
      </c>
      <c r="G770">
        <v>1</v>
      </c>
      <c r="H770">
        <f t="shared" ref="H770:H833" si="48">A770*G770</f>
        <v>6230</v>
      </c>
      <c r="I770">
        <v>0</v>
      </c>
      <c r="J770">
        <f t="shared" ref="J770:J833" si="49">A770*I770</f>
        <v>0</v>
      </c>
      <c r="K770">
        <v>0</v>
      </c>
      <c r="L770">
        <f t="shared" ref="L770:L833" si="50">K770*A770</f>
        <v>0</v>
      </c>
      <c r="M770">
        <v>0</v>
      </c>
      <c r="N770">
        <f t="shared" ref="N770:N833" si="51">A770*M770</f>
        <v>0</v>
      </c>
    </row>
    <row r="771" spans="1:14" x14ac:dyDescent="0.25">
      <c r="A771">
        <f>VLOOKUP(B771,Calculations!$A$2:$B$10,2)+VLOOKUP(C771,Calculations!$C$2:$D$7,2)+VLOOKUP(D771,Calculations!$E$2:$F$6,2)+VLOOKUP(E771,Calculations!$G$2:$H$6,2)</f>
        <v>6240</v>
      </c>
      <c r="B771" t="s">
        <v>9</v>
      </c>
      <c r="C771" t="s">
        <v>20</v>
      </c>
      <c r="D771" t="s">
        <v>12</v>
      </c>
      <c r="E771" t="s">
        <v>30</v>
      </c>
      <c r="F771">
        <v>1</v>
      </c>
      <c r="G771">
        <v>1</v>
      </c>
      <c r="H771">
        <f t="shared" si="48"/>
        <v>6240</v>
      </c>
      <c r="I771">
        <v>0</v>
      </c>
      <c r="J771">
        <f t="shared" si="49"/>
        <v>0</v>
      </c>
      <c r="K771">
        <v>0</v>
      </c>
      <c r="L771">
        <f t="shared" si="50"/>
        <v>0</v>
      </c>
      <c r="M771">
        <v>0</v>
      </c>
      <c r="N771">
        <f t="shared" si="51"/>
        <v>0</v>
      </c>
    </row>
    <row r="772" spans="1:14" x14ac:dyDescent="0.25">
      <c r="A772">
        <f>VLOOKUP(B772,Calculations!$A$2:$B$10,2)+VLOOKUP(C772,Calculations!$C$2:$D$7,2)+VLOOKUP(D772,Calculations!$E$2:$F$6,2)+VLOOKUP(E772,Calculations!$G$2:$H$6,2)</f>
        <v>6250</v>
      </c>
      <c r="B772" t="s">
        <v>50</v>
      </c>
      <c r="C772" t="s">
        <v>20</v>
      </c>
      <c r="D772" t="s">
        <v>12</v>
      </c>
      <c r="E772" t="s">
        <v>30</v>
      </c>
      <c r="F772">
        <v>1</v>
      </c>
      <c r="G772">
        <v>1</v>
      </c>
      <c r="H772">
        <f t="shared" si="48"/>
        <v>6250</v>
      </c>
      <c r="I772">
        <v>0</v>
      </c>
      <c r="J772">
        <f t="shared" si="49"/>
        <v>0</v>
      </c>
      <c r="K772">
        <v>0</v>
      </c>
      <c r="L772">
        <f t="shared" si="50"/>
        <v>0</v>
      </c>
      <c r="M772">
        <v>0</v>
      </c>
      <c r="N772">
        <f t="shared" si="51"/>
        <v>0</v>
      </c>
    </row>
    <row r="773" spans="1:14" x14ac:dyDescent="0.25">
      <c r="A773">
        <f>VLOOKUP(B773,Calculations!$A$2:$B$10,2)+VLOOKUP(C773,Calculations!$C$2:$D$7,2)+VLOOKUP(D773,Calculations!$E$2:$F$6,2)+VLOOKUP(E773,Calculations!$G$2:$H$6,2)</f>
        <v>6260</v>
      </c>
      <c r="B773" t="s">
        <v>51</v>
      </c>
      <c r="C773" t="s">
        <v>20</v>
      </c>
      <c r="D773" t="s">
        <v>12</v>
      </c>
      <c r="E773" t="s">
        <v>30</v>
      </c>
      <c r="F773">
        <v>1</v>
      </c>
      <c r="G773">
        <v>0</v>
      </c>
      <c r="H773">
        <f t="shared" si="48"/>
        <v>0</v>
      </c>
      <c r="I773">
        <v>0</v>
      </c>
      <c r="J773">
        <f t="shared" si="49"/>
        <v>0</v>
      </c>
      <c r="K773">
        <v>0</v>
      </c>
      <c r="L773">
        <f t="shared" si="50"/>
        <v>0</v>
      </c>
      <c r="M773">
        <v>0</v>
      </c>
      <c r="N773">
        <f t="shared" si="51"/>
        <v>0</v>
      </c>
    </row>
    <row r="774" spans="1:14" x14ac:dyDescent="0.25">
      <c r="A774">
        <f>VLOOKUP(B774,Calculations!$A$2:$B$10,2)+VLOOKUP(C774,Calculations!$C$2:$D$7,2)+VLOOKUP(D774,Calculations!$E$2:$F$6,2)+VLOOKUP(E774,Calculations!$G$2:$H$6,2)</f>
        <v>6270</v>
      </c>
      <c r="B774" t="s">
        <v>52</v>
      </c>
      <c r="C774" t="s">
        <v>20</v>
      </c>
      <c r="D774" t="s">
        <v>12</v>
      </c>
      <c r="E774" t="s">
        <v>30</v>
      </c>
      <c r="F774">
        <v>0</v>
      </c>
      <c r="G774">
        <v>0</v>
      </c>
      <c r="H774">
        <f t="shared" si="48"/>
        <v>0</v>
      </c>
      <c r="I774">
        <v>0</v>
      </c>
      <c r="J774">
        <f t="shared" si="49"/>
        <v>0</v>
      </c>
      <c r="K774">
        <v>0</v>
      </c>
      <c r="L774">
        <f t="shared" si="50"/>
        <v>0</v>
      </c>
      <c r="M774">
        <v>0</v>
      </c>
      <c r="N774">
        <f t="shared" si="51"/>
        <v>0</v>
      </c>
    </row>
    <row r="775" spans="1:14" x14ac:dyDescent="0.25">
      <c r="A775">
        <f>VLOOKUP(B775,Calculations!$A$2:$B$10,2)+VLOOKUP(C775,Calculations!$C$2:$D$7,2)+VLOOKUP(D775,Calculations!$E$2:$F$6,2)+VLOOKUP(E775,Calculations!$G$2:$H$6,2)</f>
        <v>6280</v>
      </c>
      <c r="B775" t="s">
        <v>8</v>
      </c>
      <c r="C775" t="s">
        <v>20</v>
      </c>
      <c r="D775" t="s">
        <v>12</v>
      </c>
      <c r="E775" t="s">
        <v>30</v>
      </c>
      <c r="F775">
        <v>1</v>
      </c>
      <c r="G775">
        <v>1</v>
      </c>
      <c r="H775">
        <f t="shared" si="48"/>
        <v>6280</v>
      </c>
      <c r="I775">
        <v>0</v>
      </c>
      <c r="J775">
        <f t="shared" si="49"/>
        <v>0</v>
      </c>
      <c r="K775">
        <v>0</v>
      </c>
      <c r="L775">
        <f t="shared" si="50"/>
        <v>0</v>
      </c>
      <c r="M775">
        <v>0</v>
      </c>
      <c r="N775">
        <f t="shared" si="51"/>
        <v>0</v>
      </c>
    </row>
    <row r="776" spans="1:14" x14ac:dyDescent="0.25">
      <c r="A776">
        <f>VLOOKUP(B776,Calculations!$A$2:$B$10,2)+VLOOKUP(C776,Calculations!$C$2:$D$7,2)+VLOOKUP(D776,Calculations!$E$2:$F$6,2)+VLOOKUP(E776,Calculations!$G$2:$H$6,2)</f>
        <v>6201</v>
      </c>
      <c r="B776" t="s">
        <v>5</v>
      </c>
      <c r="C776" t="s">
        <v>20</v>
      </c>
      <c r="D776" t="s">
        <v>54</v>
      </c>
      <c r="E776" t="s">
        <v>25</v>
      </c>
      <c r="F776">
        <v>1</v>
      </c>
      <c r="G776">
        <v>1</v>
      </c>
      <c r="H776">
        <f t="shared" si="48"/>
        <v>6201</v>
      </c>
      <c r="I776">
        <v>1</v>
      </c>
      <c r="J776">
        <f t="shared" si="49"/>
        <v>6201</v>
      </c>
      <c r="K776">
        <v>0</v>
      </c>
      <c r="L776">
        <f t="shared" si="50"/>
        <v>0</v>
      </c>
      <c r="M776">
        <v>0</v>
      </c>
      <c r="N776">
        <f t="shared" si="51"/>
        <v>0</v>
      </c>
    </row>
    <row r="777" spans="1:14" x14ac:dyDescent="0.25">
      <c r="A777">
        <f>VLOOKUP(B777,Calculations!$A$2:$B$10,2)+VLOOKUP(C777,Calculations!$C$2:$D$7,2)+VLOOKUP(D777,Calculations!$E$2:$F$6,2)+VLOOKUP(E777,Calculations!$G$2:$H$6,2)</f>
        <v>6202</v>
      </c>
      <c r="B777" t="s">
        <v>5</v>
      </c>
      <c r="C777" t="s">
        <v>20</v>
      </c>
      <c r="D777" t="s">
        <v>13</v>
      </c>
      <c r="E777" t="s">
        <v>25</v>
      </c>
      <c r="F777">
        <v>1</v>
      </c>
      <c r="G777">
        <v>1</v>
      </c>
      <c r="H777">
        <f t="shared" si="48"/>
        <v>6202</v>
      </c>
      <c r="I777">
        <v>1</v>
      </c>
      <c r="J777">
        <f t="shared" si="49"/>
        <v>6202</v>
      </c>
      <c r="K777">
        <v>0</v>
      </c>
      <c r="L777">
        <f t="shared" si="50"/>
        <v>0</v>
      </c>
      <c r="M777">
        <v>0</v>
      </c>
      <c r="N777">
        <f t="shared" si="51"/>
        <v>0</v>
      </c>
    </row>
    <row r="778" spans="1:14" x14ac:dyDescent="0.25">
      <c r="A778">
        <f>VLOOKUP(B778,Calculations!$A$2:$B$10,2)+VLOOKUP(C778,Calculations!$C$2:$D$7,2)+VLOOKUP(D778,Calculations!$E$2:$F$6,2)+VLOOKUP(E778,Calculations!$G$2:$H$6,2)</f>
        <v>6203</v>
      </c>
      <c r="B778" t="s">
        <v>5</v>
      </c>
      <c r="C778" t="s">
        <v>20</v>
      </c>
      <c r="D778" t="s">
        <v>14</v>
      </c>
      <c r="E778" t="s">
        <v>25</v>
      </c>
      <c r="F778">
        <v>1</v>
      </c>
      <c r="G778">
        <v>1</v>
      </c>
      <c r="H778">
        <f t="shared" si="48"/>
        <v>6203</v>
      </c>
      <c r="I778">
        <v>1</v>
      </c>
      <c r="J778">
        <f t="shared" si="49"/>
        <v>6203</v>
      </c>
      <c r="K778">
        <v>0</v>
      </c>
      <c r="L778">
        <f t="shared" si="50"/>
        <v>0</v>
      </c>
      <c r="M778">
        <v>0</v>
      </c>
      <c r="N778">
        <f t="shared" si="51"/>
        <v>0</v>
      </c>
    </row>
    <row r="779" spans="1:14" x14ac:dyDescent="0.25">
      <c r="A779">
        <f>VLOOKUP(B779,Calculations!$A$2:$B$10,2)+VLOOKUP(C779,Calculations!$C$2:$D$7,2)+VLOOKUP(D779,Calculations!$E$2:$F$6,2)+VLOOKUP(E779,Calculations!$G$2:$H$6,2)</f>
        <v>6204</v>
      </c>
      <c r="B779" t="s">
        <v>5</v>
      </c>
      <c r="C779" t="s">
        <v>20</v>
      </c>
      <c r="D779" t="s">
        <v>15</v>
      </c>
      <c r="E779" t="s">
        <v>25</v>
      </c>
      <c r="F779">
        <v>0</v>
      </c>
      <c r="G779">
        <v>0</v>
      </c>
      <c r="H779">
        <f t="shared" si="48"/>
        <v>0</v>
      </c>
      <c r="I779">
        <v>0</v>
      </c>
      <c r="J779">
        <f t="shared" si="49"/>
        <v>0</v>
      </c>
      <c r="K779">
        <v>0</v>
      </c>
      <c r="L779">
        <f t="shared" si="50"/>
        <v>0</v>
      </c>
      <c r="M779">
        <v>0</v>
      </c>
      <c r="N779">
        <f t="shared" si="51"/>
        <v>0</v>
      </c>
    </row>
    <row r="780" spans="1:14" x14ac:dyDescent="0.25">
      <c r="A780">
        <f>VLOOKUP(B780,Calculations!$A$2:$B$10,2)+VLOOKUP(C780,Calculations!$C$2:$D$7,2)+VLOOKUP(D780,Calculations!$E$2:$F$6,2)+VLOOKUP(E780,Calculations!$G$2:$H$6,2)</f>
        <v>6211</v>
      </c>
      <c r="B780" t="s">
        <v>6</v>
      </c>
      <c r="C780" t="s">
        <v>20</v>
      </c>
      <c r="D780" t="s">
        <v>54</v>
      </c>
      <c r="E780" t="s">
        <v>25</v>
      </c>
      <c r="F780">
        <v>1</v>
      </c>
      <c r="G780">
        <v>1</v>
      </c>
      <c r="H780">
        <f t="shared" si="48"/>
        <v>6211</v>
      </c>
      <c r="I780">
        <v>1</v>
      </c>
      <c r="J780">
        <f t="shared" si="49"/>
        <v>6211</v>
      </c>
      <c r="K780">
        <v>0</v>
      </c>
      <c r="L780">
        <f t="shared" si="50"/>
        <v>0</v>
      </c>
      <c r="M780">
        <v>0</v>
      </c>
      <c r="N780">
        <f t="shared" si="51"/>
        <v>0</v>
      </c>
    </row>
    <row r="781" spans="1:14" x14ac:dyDescent="0.25">
      <c r="A781">
        <f>VLOOKUP(B781,Calculations!$A$2:$B$10,2)+VLOOKUP(C781,Calculations!$C$2:$D$7,2)+VLOOKUP(D781,Calculations!$E$2:$F$6,2)+VLOOKUP(E781,Calculations!$G$2:$H$6,2)</f>
        <v>6212</v>
      </c>
      <c r="B781" t="s">
        <v>6</v>
      </c>
      <c r="C781" t="s">
        <v>20</v>
      </c>
      <c r="D781" t="s">
        <v>13</v>
      </c>
      <c r="E781" t="s">
        <v>25</v>
      </c>
      <c r="F781">
        <v>1</v>
      </c>
      <c r="G781">
        <v>1</v>
      </c>
      <c r="H781">
        <f t="shared" si="48"/>
        <v>6212</v>
      </c>
      <c r="I781">
        <v>1</v>
      </c>
      <c r="J781">
        <f t="shared" si="49"/>
        <v>6212</v>
      </c>
      <c r="K781">
        <v>0</v>
      </c>
      <c r="L781">
        <f t="shared" si="50"/>
        <v>0</v>
      </c>
      <c r="M781">
        <v>0</v>
      </c>
      <c r="N781">
        <f t="shared" si="51"/>
        <v>0</v>
      </c>
    </row>
    <row r="782" spans="1:14" x14ac:dyDescent="0.25">
      <c r="A782">
        <f>VLOOKUP(B782,Calculations!$A$2:$B$10,2)+VLOOKUP(C782,Calculations!$C$2:$D$7,2)+VLOOKUP(D782,Calculations!$E$2:$F$6,2)+VLOOKUP(E782,Calculations!$G$2:$H$6,2)</f>
        <v>6213</v>
      </c>
      <c r="B782" t="s">
        <v>6</v>
      </c>
      <c r="C782" t="s">
        <v>20</v>
      </c>
      <c r="D782" t="s">
        <v>14</v>
      </c>
      <c r="E782" t="s">
        <v>25</v>
      </c>
      <c r="F782">
        <v>1</v>
      </c>
      <c r="G782">
        <v>1</v>
      </c>
      <c r="H782">
        <f t="shared" si="48"/>
        <v>6213</v>
      </c>
      <c r="I782">
        <v>1</v>
      </c>
      <c r="J782">
        <f t="shared" si="49"/>
        <v>6213</v>
      </c>
      <c r="K782">
        <v>0</v>
      </c>
      <c r="L782">
        <f t="shared" si="50"/>
        <v>0</v>
      </c>
      <c r="M782">
        <v>0</v>
      </c>
      <c r="N782">
        <f t="shared" si="51"/>
        <v>0</v>
      </c>
    </row>
    <row r="783" spans="1:14" x14ac:dyDescent="0.25">
      <c r="A783">
        <f>VLOOKUP(B783,Calculations!$A$2:$B$10,2)+VLOOKUP(C783,Calculations!$C$2:$D$7,2)+VLOOKUP(D783,Calculations!$E$2:$F$6,2)+VLOOKUP(E783,Calculations!$G$2:$H$6,2)</f>
        <v>6214</v>
      </c>
      <c r="B783" t="s">
        <v>6</v>
      </c>
      <c r="C783" t="s">
        <v>20</v>
      </c>
      <c r="D783" t="s">
        <v>15</v>
      </c>
      <c r="E783" t="s">
        <v>25</v>
      </c>
      <c r="F783">
        <v>0</v>
      </c>
      <c r="G783">
        <v>0</v>
      </c>
      <c r="H783">
        <f t="shared" si="48"/>
        <v>0</v>
      </c>
      <c r="I783">
        <v>0</v>
      </c>
      <c r="J783">
        <f t="shared" si="49"/>
        <v>0</v>
      </c>
      <c r="K783">
        <v>0</v>
      </c>
      <c r="L783">
        <f t="shared" si="50"/>
        <v>0</v>
      </c>
      <c r="M783">
        <v>0</v>
      </c>
      <c r="N783">
        <f t="shared" si="51"/>
        <v>0</v>
      </c>
    </row>
    <row r="784" spans="1:14" x14ac:dyDescent="0.25">
      <c r="A784">
        <f>VLOOKUP(B784,Calculations!$A$2:$B$10,2)+VLOOKUP(C784,Calculations!$C$2:$D$7,2)+VLOOKUP(D784,Calculations!$E$2:$F$6,2)+VLOOKUP(E784,Calculations!$G$2:$H$6,2)</f>
        <v>6221</v>
      </c>
      <c r="B784" t="s">
        <v>7</v>
      </c>
      <c r="C784" t="s">
        <v>20</v>
      </c>
      <c r="D784" t="s">
        <v>54</v>
      </c>
      <c r="E784" t="s">
        <v>25</v>
      </c>
      <c r="F784">
        <v>1</v>
      </c>
      <c r="G784">
        <v>1</v>
      </c>
      <c r="H784">
        <f t="shared" si="48"/>
        <v>6221</v>
      </c>
      <c r="I784">
        <v>1</v>
      </c>
      <c r="J784">
        <f t="shared" si="49"/>
        <v>6221</v>
      </c>
      <c r="K784">
        <v>0</v>
      </c>
      <c r="L784">
        <f t="shared" si="50"/>
        <v>0</v>
      </c>
      <c r="M784">
        <v>0</v>
      </c>
      <c r="N784">
        <f t="shared" si="51"/>
        <v>0</v>
      </c>
    </row>
    <row r="785" spans="1:14" x14ac:dyDescent="0.25">
      <c r="A785">
        <f>VLOOKUP(B785,Calculations!$A$2:$B$10,2)+VLOOKUP(C785,Calculations!$C$2:$D$7,2)+VLOOKUP(D785,Calculations!$E$2:$F$6,2)+VLOOKUP(E785,Calculations!$G$2:$H$6,2)</f>
        <v>6222</v>
      </c>
      <c r="B785" t="s">
        <v>7</v>
      </c>
      <c r="C785" t="s">
        <v>20</v>
      </c>
      <c r="D785" t="s">
        <v>13</v>
      </c>
      <c r="E785" t="s">
        <v>25</v>
      </c>
      <c r="F785">
        <v>1</v>
      </c>
      <c r="G785">
        <v>1</v>
      </c>
      <c r="H785">
        <f t="shared" si="48"/>
        <v>6222</v>
      </c>
      <c r="I785">
        <v>1</v>
      </c>
      <c r="J785">
        <f t="shared" si="49"/>
        <v>6222</v>
      </c>
      <c r="K785">
        <v>0</v>
      </c>
      <c r="L785">
        <f t="shared" si="50"/>
        <v>0</v>
      </c>
      <c r="M785">
        <v>0</v>
      </c>
      <c r="N785">
        <f t="shared" si="51"/>
        <v>0</v>
      </c>
    </row>
    <row r="786" spans="1:14" x14ac:dyDescent="0.25">
      <c r="A786">
        <f>VLOOKUP(B786,Calculations!$A$2:$B$10,2)+VLOOKUP(C786,Calculations!$C$2:$D$7,2)+VLOOKUP(D786,Calculations!$E$2:$F$6,2)+VLOOKUP(E786,Calculations!$G$2:$H$6,2)</f>
        <v>6223</v>
      </c>
      <c r="B786" t="s">
        <v>7</v>
      </c>
      <c r="C786" t="s">
        <v>20</v>
      </c>
      <c r="D786" t="s">
        <v>14</v>
      </c>
      <c r="E786" t="s">
        <v>25</v>
      </c>
      <c r="F786">
        <v>1</v>
      </c>
      <c r="G786">
        <v>1</v>
      </c>
      <c r="H786">
        <f t="shared" si="48"/>
        <v>6223</v>
      </c>
      <c r="I786">
        <v>1</v>
      </c>
      <c r="J786">
        <f t="shared" si="49"/>
        <v>6223</v>
      </c>
      <c r="K786">
        <v>0</v>
      </c>
      <c r="L786">
        <f t="shared" si="50"/>
        <v>0</v>
      </c>
      <c r="M786">
        <v>0</v>
      </c>
      <c r="N786">
        <f t="shared" si="51"/>
        <v>0</v>
      </c>
    </row>
    <row r="787" spans="1:14" x14ac:dyDescent="0.25">
      <c r="A787">
        <f>VLOOKUP(B787,Calculations!$A$2:$B$10,2)+VLOOKUP(C787,Calculations!$C$2:$D$7,2)+VLOOKUP(D787,Calculations!$E$2:$F$6,2)+VLOOKUP(E787,Calculations!$G$2:$H$6,2)</f>
        <v>6224</v>
      </c>
      <c r="B787" t="s">
        <v>7</v>
      </c>
      <c r="C787" t="s">
        <v>20</v>
      </c>
      <c r="D787" t="s">
        <v>15</v>
      </c>
      <c r="E787" t="s">
        <v>25</v>
      </c>
      <c r="F787">
        <v>1</v>
      </c>
      <c r="G787">
        <v>1</v>
      </c>
      <c r="H787">
        <f t="shared" si="48"/>
        <v>6224</v>
      </c>
      <c r="I787">
        <v>1</v>
      </c>
      <c r="J787">
        <f t="shared" si="49"/>
        <v>6224</v>
      </c>
      <c r="K787">
        <v>0</v>
      </c>
      <c r="L787">
        <f t="shared" si="50"/>
        <v>0</v>
      </c>
      <c r="M787">
        <v>0</v>
      </c>
      <c r="N787">
        <f t="shared" si="51"/>
        <v>0</v>
      </c>
    </row>
    <row r="788" spans="1:14" x14ac:dyDescent="0.25">
      <c r="A788">
        <f>VLOOKUP(B788,Calculations!$A$2:$B$10,2)+VLOOKUP(C788,Calculations!$C$2:$D$7,2)+VLOOKUP(D788,Calculations!$E$2:$F$6,2)+VLOOKUP(E788,Calculations!$G$2:$H$6,2)</f>
        <v>6231</v>
      </c>
      <c r="B788" t="s">
        <v>53</v>
      </c>
      <c r="C788" t="s">
        <v>20</v>
      </c>
      <c r="D788" t="s">
        <v>54</v>
      </c>
      <c r="E788" t="s">
        <v>25</v>
      </c>
      <c r="F788">
        <v>1</v>
      </c>
      <c r="G788">
        <v>1</v>
      </c>
      <c r="H788">
        <f t="shared" si="48"/>
        <v>6231</v>
      </c>
      <c r="I788">
        <v>1</v>
      </c>
      <c r="J788">
        <f t="shared" si="49"/>
        <v>6231</v>
      </c>
      <c r="K788">
        <v>0</v>
      </c>
      <c r="L788">
        <f t="shared" si="50"/>
        <v>0</v>
      </c>
      <c r="M788">
        <v>0</v>
      </c>
      <c r="N788">
        <f t="shared" si="51"/>
        <v>0</v>
      </c>
    </row>
    <row r="789" spans="1:14" x14ac:dyDescent="0.25">
      <c r="A789">
        <f>VLOOKUP(B789,Calculations!$A$2:$B$10,2)+VLOOKUP(C789,Calculations!$C$2:$D$7,2)+VLOOKUP(D789,Calculations!$E$2:$F$6,2)+VLOOKUP(E789,Calculations!$G$2:$H$6,2)</f>
        <v>6232</v>
      </c>
      <c r="B789" t="s">
        <v>53</v>
      </c>
      <c r="C789" t="s">
        <v>20</v>
      </c>
      <c r="D789" t="s">
        <v>13</v>
      </c>
      <c r="E789" t="s">
        <v>25</v>
      </c>
      <c r="F789">
        <v>1</v>
      </c>
      <c r="G789">
        <v>1</v>
      </c>
      <c r="H789">
        <f t="shared" si="48"/>
        <v>6232</v>
      </c>
      <c r="I789">
        <v>1</v>
      </c>
      <c r="J789">
        <f t="shared" si="49"/>
        <v>6232</v>
      </c>
      <c r="K789">
        <v>0</v>
      </c>
      <c r="L789">
        <f t="shared" si="50"/>
        <v>0</v>
      </c>
      <c r="M789">
        <v>0</v>
      </c>
      <c r="N789">
        <f t="shared" si="51"/>
        <v>0</v>
      </c>
    </row>
    <row r="790" spans="1:14" x14ac:dyDescent="0.25">
      <c r="A790">
        <f>VLOOKUP(B790,Calculations!$A$2:$B$10,2)+VLOOKUP(C790,Calculations!$C$2:$D$7,2)+VLOOKUP(D790,Calculations!$E$2:$F$6,2)+VLOOKUP(E790,Calculations!$G$2:$H$6,2)</f>
        <v>6233</v>
      </c>
      <c r="B790" t="s">
        <v>53</v>
      </c>
      <c r="C790" t="s">
        <v>20</v>
      </c>
      <c r="D790" t="s">
        <v>14</v>
      </c>
      <c r="E790" t="s">
        <v>25</v>
      </c>
      <c r="F790">
        <v>1</v>
      </c>
      <c r="G790">
        <v>1</v>
      </c>
      <c r="H790">
        <f t="shared" si="48"/>
        <v>6233</v>
      </c>
      <c r="I790">
        <v>1</v>
      </c>
      <c r="J790">
        <f t="shared" si="49"/>
        <v>6233</v>
      </c>
      <c r="K790">
        <v>0</v>
      </c>
      <c r="L790">
        <f t="shared" si="50"/>
        <v>0</v>
      </c>
      <c r="M790">
        <v>0</v>
      </c>
      <c r="N790">
        <f t="shared" si="51"/>
        <v>0</v>
      </c>
    </row>
    <row r="791" spans="1:14" x14ac:dyDescent="0.25">
      <c r="A791">
        <f>VLOOKUP(B791,Calculations!$A$2:$B$10,2)+VLOOKUP(C791,Calculations!$C$2:$D$7,2)+VLOOKUP(D791,Calculations!$E$2:$F$6,2)+VLOOKUP(E791,Calculations!$G$2:$H$6,2)</f>
        <v>6234</v>
      </c>
      <c r="B791" t="s">
        <v>53</v>
      </c>
      <c r="C791" t="s">
        <v>20</v>
      </c>
      <c r="D791" t="s">
        <v>15</v>
      </c>
      <c r="E791" t="s">
        <v>25</v>
      </c>
      <c r="F791">
        <v>1</v>
      </c>
      <c r="G791">
        <v>1</v>
      </c>
      <c r="H791">
        <f t="shared" si="48"/>
        <v>6234</v>
      </c>
      <c r="I791">
        <v>1</v>
      </c>
      <c r="J791">
        <f t="shared" si="49"/>
        <v>6234</v>
      </c>
      <c r="K791">
        <v>0</v>
      </c>
      <c r="L791">
        <f t="shared" si="50"/>
        <v>0</v>
      </c>
      <c r="M791">
        <v>0</v>
      </c>
      <c r="N791">
        <f t="shared" si="51"/>
        <v>0</v>
      </c>
    </row>
    <row r="792" spans="1:14" x14ac:dyDescent="0.25">
      <c r="A792">
        <f>VLOOKUP(B792,Calculations!$A$2:$B$10,2)+VLOOKUP(C792,Calculations!$C$2:$D$7,2)+VLOOKUP(D792,Calculations!$E$2:$F$6,2)+VLOOKUP(E792,Calculations!$G$2:$H$6,2)</f>
        <v>6241</v>
      </c>
      <c r="B792" t="s">
        <v>9</v>
      </c>
      <c r="C792" t="s">
        <v>20</v>
      </c>
      <c r="D792" t="s">
        <v>54</v>
      </c>
      <c r="E792" t="s">
        <v>25</v>
      </c>
      <c r="F792">
        <v>1</v>
      </c>
      <c r="G792">
        <v>1</v>
      </c>
      <c r="H792">
        <f t="shared" si="48"/>
        <v>6241</v>
      </c>
      <c r="I792">
        <v>1</v>
      </c>
      <c r="J792">
        <f t="shared" si="49"/>
        <v>6241</v>
      </c>
      <c r="K792">
        <v>0</v>
      </c>
      <c r="L792">
        <f t="shared" si="50"/>
        <v>0</v>
      </c>
      <c r="M792">
        <v>0</v>
      </c>
      <c r="N792">
        <f t="shared" si="51"/>
        <v>0</v>
      </c>
    </row>
    <row r="793" spans="1:14" x14ac:dyDescent="0.25">
      <c r="A793">
        <f>VLOOKUP(B793,Calculations!$A$2:$B$10,2)+VLOOKUP(C793,Calculations!$C$2:$D$7,2)+VLOOKUP(D793,Calculations!$E$2:$F$6,2)+VLOOKUP(E793,Calculations!$G$2:$H$6,2)</f>
        <v>6242</v>
      </c>
      <c r="B793" t="s">
        <v>9</v>
      </c>
      <c r="C793" t="s">
        <v>20</v>
      </c>
      <c r="D793" t="s">
        <v>13</v>
      </c>
      <c r="E793" t="s">
        <v>25</v>
      </c>
      <c r="F793">
        <v>0</v>
      </c>
      <c r="G793">
        <v>0</v>
      </c>
      <c r="H793">
        <f t="shared" si="48"/>
        <v>0</v>
      </c>
      <c r="I793">
        <v>0</v>
      </c>
      <c r="J793">
        <f t="shared" si="49"/>
        <v>0</v>
      </c>
      <c r="K793">
        <v>0</v>
      </c>
      <c r="L793">
        <f t="shared" si="50"/>
        <v>0</v>
      </c>
      <c r="M793">
        <v>0</v>
      </c>
      <c r="N793">
        <f t="shared" si="51"/>
        <v>0</v>
      </c>
    </row>
    <row r="794" spans="1:14" x14ac:dyDescent="0.25">
      <c r="A794">
        <f>VLOOKUP(B794,Calculations!$A$2:$B$10,2)+VLOOKUP(C794,Calculations!$C$2:$D$7,2)+VLOOKUP(D794,Calculations!$E$2:$F$6,2)+VLOOKUP(E794,Calculations!$G$2:$H$6,2)</f>
        <v>6243</v>
      </c>
      <c r="B794" t="s">
        <v>9</v>
      </c>
      <c r="C794" t="s">
        <v>20</v>
      </c>
      <c r="D794" t="s">
        <v>14</v>
      </c>
      <c r="E794" t="s">
        <v>25</v>
      </c>
      <c r="F794">
        <v>0</v>
      </c>
      <c r="G794">
        <v>0</v>
      </c>
      <c r="H794">
        <f t="shared" si="48"/>
        <v>0</v>
      </c>
      <c r="I794">
        <v>0</v>
      </c>
      <c r="J794">
        <f t="shared" si="49"/>
        <v>0</v>
      </c>
      <c r="K794">
        <v>0</v>
      </c>
      <c r="L794">
        <f t="shared" si="50"/>
        <v>0</v>
      </c>
      <c r="M794">
        <v>0</v>
      </c>
      <c r="N794">
        <f t="shared" si="51"/>
        <v>0</v>
      </c>
    </row>
    <row r="795" spans="1:14" x14ac:dyDescent="0.25">
      <c r="A795">
        <f>VLOOKUP(B795,Calculations!$A$2:$B$10,2)+VLOOKUP(C795,Calculations!$C$2:$D$7,2)+VLOOKUP(D795,Calculations!$E$2:$F$6,2)+VLOOKUP(E795,Calculations!$G$2:$H$6,2)</f>
        <v>6244</v>
      </c>
      <c r="B795" t="s">
        <v>9</v>
      </c>
      <c r="C795" t="s">
        <v>20</v>
      </c>
      <c r="D795" t="s">
        <v>15</v>
      </c>
      <c r="E795" t="s">
        <v>25</v>
      </c>
      <c r="F795">
        <v>0</v>
      </c>
      <c r="G795">
        <v>0</v>
      </c>
      <c r="H795">
        <f t="shared" si="48"/>
        <v>0</v>
      </c>
      <c r="I795">
        <v>0</v>
      </c>
      <c r="J795">
        <f t="shared" si="49"/>
        <v>0</v>
      </c>
      <c r="K795">
        <v>0</v>
      </c>
      <c r="L795">
        <f t="shared" si="50"/>
        <v>0</v>
      </c>
      <c r="M795">
        <v>0</v>
      </c>
      <c r="N795">
        <f t="shared" si="51"/>
        <v>0</v>
      </c>
    </row>
    <row r="796" spans="1:14" x14ac:dyDescent="0.25">
      <c r="A796">
        <f>VLOOKUP(B796,Calculations!$A$2:$B$10,2)+VLOOKUP(C796,Calculations!$C$2:$D$7,2)+VLOOKUP(D796,Calculations!$E$2:$F$6,2)+VLOOKUP(E796,Calculations!$G$2:$H$6,2)</f>
        <v>6251</v>
      </c>
      <c r="B796" t="s">
        <v>50</v>
      </c>
      <c r="C796" t="s">
        <v>20</v>
      </c>
      <c r="D796" t="s">
        <v>54</v>
      </c>
      <c r="E796" t="s">
        <v>25</v>
      </c>
      <c r="F796">
        <v>1</v>
      </c>
      <c r="G796">
        <v>1</v>
      </c>
      <c r="H796">
        <f t="shared" si="48"/>
        <v>6251</v>
      </c>
      <c r="I796">
        <v>1</v>
      </c>
      <c r="J796">
        <f t="shared" si="49"/>
        <v>6251</v>
      </c>
      <c r="K796">
        <v>0</v>
      </c>
      <c r="L796">
        <f t="shared" si="50"/>
        <v>0</v>
      </c>
      <c r="M796">
        <v>0</v>
      </c>
      <c r="N796">
        <f t="shared" si="51"/>
        <v>0</v>
      </c>
    </row>
    <row r="797" spans="1:14" x14ac:dyDescent="0.25">
      <c r="A797">
        <f>VLOOKUP(B797,Calculations!$A$2:$B$10,2)+VLOOKUP(C797,Calculations!$C$2:$D$7,2)+VLOOKUP(D797,Calculations!$E$2:$F$6,2)+VLOOKUP(E797,Calculations!$G$2:$H$6,2)</f>
        <v>6252</v>
      </c>
      <c r="B797" t="s">
        <v>50</v>
      </c>
      <c r="C797" t="s">
        <v>20</v>
      </c>
      <c r="D797" t="s">
        <v>13</v>
      </c>
      <c r="E797" t="s">
        <v>25</v>
      </c>
      <c r="F797">
        <v>1</v>
      </c>
      <c r="G797">
        <v>1</v>
      </c>
      <c r="H797">
        <f t="shared" si="48"/>
        <v>6252</v>
      </c>
      <c r="I797">
        <v>1</v>
      </c>
      <c r="J797">
        <f t="shared" si="49"/>
        <v>6252</v>
      </c>
      <c r="K797">
        <v>0</v>
      </c>
      <c r="L797">
        <f t="shared" si="50"/>
        <v>0</v>
      </c>
      <c r="M797">
        <v>0</v>
      </c>
      <c r="N797">
        <f t="shared" si="51"/>
        <v>0</v>
      </c>
    </row>
    <row r="798" spans="1:14" x14ac:dyDescent="0.25">
      <c r="A798">
        <f>VLOOKUP(B798,Calculations!$A$2:$B$10,2)+VLOOKUP(C798,Calculations!$C$2:$D$7,2)+VLOOKUP(D798,Calculations!$E$2:$F$6,2)+VLOOKUP(E798,Calculations!$G$2:$H$6,2)</f>
        <v>6253</v>
      </c>
      <c r="B798" t="s">
        <v>50</v>
      </c>
      <c r="C798" t="s">
        <v>20</v>
      </c>
      <c r="D798" t="s">
        <v>14</v>
      </c>
      <c r="E798" t="s">
        <v>25</v>
      </c>
      <c r="F798">
        <v>1</v>
      </c>
      <c r="G798">
        <v>1</v>
      </c>
      <c r="H798">
        <f t="shared" si="48"/>
        <v>6253</v>
      </c>
      <c r="I798">
        <v>1</v>
      </c>
      <c r="J798">
        <f t="shared" si="49"/>
        <v>6253</v>
      </c>
      <c r="K798">
        <v>0</v>
      </c>
      <c r="L798">
        <f t="shared" si="50"/>
        <v>0</v>
      </c>
      <c r="M798">
        <v>0</v>
      </c>
      <c r="N798">
        <f t="shared" si="51"/>
        <v>0</v>
      </c>
    </row>
    <row r="799" spans="1:14" x14ac:dyDescent="0.25">
      <c r="A799">
        <f>VLOOKUP(B799,Calculations!$A$2:$B$10,2)+VLOOKUP(C799,Calculations!$C$2:$D$7,2)+VLOOKUP(D799,Calculations!$E$2:$F$6,2)+VLOOKUP(E799,Calculations!$G$2:$H$6,2)</f>
        <v>6254</v>
      </c>
      <c r="B799" t="s">
        <v>50</v>
      </c>
      <c r="C799" t="s">
        <v>20</v>
      </c>
      <c r="D799" t="s">
        <v>15</v>
      </c>
      <c r="E799" t="s">
        <v>25</v>
      </c>
      <c r="F799">
        <v>1</v>
      </c>
      <c r="G799">
        <v>1</v>
      </c>
      <c r="H799">
        <f t="shared" si="48"/>
        <v>6254</v>
      </c>
      <c r="I799">
        <v>1</v>
      </c>
      <c r="J799">
        <f t="shared" si="49"/>
        <v>6254</v>
      </c>
      <c r="K799">
        <v>0</v>
      </c>
      <c r="L799">
        <f t="shared" si="50"/>
        <v>0</v>
      </c>
      <c r="M799">
        <v>0</v>
      </c>
      <c r="N799">
        <f t="shared" si="51"/>
        <v>0</v>
      </c>
    </row>
    <row r="800" spans="1:14" x14ac:dyDescent="0.25">
      <c r="A800">
        <f>VLOOKUP(B800,Calculations!$A$2:$B$10,2)+VLOOKUP(C800,Calculations!$C$2:$D$7,2)+VLOOKUP(D800,Calculations!$E$2:$F$6,2)+VLOOKUP(E800,Calculations!$G$2:$H$6,2)</f>
        <v>6261</v>
      </c>
      <c r="B800" t="s">
        <v>51</v>
      </c>
      <c r="C800" t="s">
        <v>20</v>
      </c>
      <c r="D800" t="s">
        <v>54</v>
      </c>
      <c r="E800" t="s">
        <v>25</v>
      </c>
      <c r="F800">
        <v>1</v>
      </c>
      <c r="G800">
        <v>0</v>
      </c>
      <c r="H800">
        <f t="shared" si="48"/>
        <v>0</v>
      </c>
      <c r="I800">
        <v>1</v>
      </c>
      <c r="J800">
        <f t="shared" si="49"/>
        <v>6261</v>
      </c>
      <c r="K800">
        <v>0</v>
      </c>
      <c r="L800">
        <f t="shared" si="50"/>
        <v>0</v>
      </c>
      <c r="M800">
        <v>0</v>
      </c>
      <c r="N800">
        <f t="shared" si="51"/>
        <v>0</v>
      </c>
    </row>
    <row r="801" spans="1:14" x14ac:dyDescent="0.25">
      <c r="A801">
        <f>VLOOKUP(B801,Calculations!$A$2:$B$10,2)+VLOOKUP(C801,Calculations!$C$2:$D$7,2)+VLOOKUP(D801,Calculations!$E$2:$F$6,2)+VLOOKUP(E801,Calculations!$G$2:$H$6,2)</f>
        <v>6262</v>
      </c>
      <c r="B801" t="s">
        <v>51</v>
      </c>
      <c r="C801" t="s">
        <v>20</v>
      </c>
      <c r="D801" t="s">
        <v>13</v>
      </c>
      <c r="E801" t="s">
        <v>25</v>
      </c>
      <c r="F801">
        <v>1</v>
      </c>
      <c r="G801">
        <v>0</v>
      </c>
      <c r="H801">
        <f t="shared" si="48"/>
        <v>0</v>
      </c>
      <c r="I801">
        <v>1</v>
      </c>
      <c r="J801">
        <f t="shared" si="49"/>
        <v>6262</v>
      </c>
      <c r="K801">
        <v>0</v>
      </c>
      <c r="L801">
        <f t="shared" si="50"/>
        <v>0</v>
      </c>
      <c r="M801">
        <v>0</v>
      </c>
      <c r="N801">
        <f t="shared" si="51"/>
        <v>0</v>
      </c>
    </row>
    <row r="802" spans="1:14" x14ac:dyDescent="0.25">
      <c r="A802">
        <f>VLOOKUP(B802,Calculations!$A$2:$B$10,2)+VLOOKUP(C802,Calculations!$C$2:$D$7,2)+VLOOKUP(D802,Calculations!$E$2:$F$6,2)+VLOOKUP(E802,Calculations!$G$2:$H$6,2)</f>
        <v>6263</v>
      </c>
      <c r="B802" t="s">
        <v>51</v>
      </c>
      <c r="C802" t="s">
        <v>20</v>
      </c>
      <c r="D802" t="s">
        <v>14</v>
      </c>
      <c r="E802" t="s">
        <v>25</v>
      </c>
      <c r="F802">
        <v>1</v>
      </c>
      <c r="G802">
        <v>0</v>
      </c>
      <c r="H802">
        <f t="shared" si="48"/>
        <v>0</v>
      </c>
      <c r="I802">
        <v>1</v>
      </c>
      <c r="J802">
        <f t="shared" si="49"/>
        <v>6263</v>
      </c>
      <c r="K802">
        <v>0</v>
      </c>
      <c r="L802">
        <f t="shared" si="50"/>
        <v>0</v>
      </c>
      <c r="M802">
        <v>0</v>
      </c>
      <c r="N802">
        <f t="shared" si="51"/>
        <v>0</v>
      </c>
    </row>
    <row r="803" spans="1:14" x14ac:dyDescent="0.25">
      <c r="A803">
        <f>VLOOKUP(B803,Calculations!$A$2:$B$10,2)+VLOOKUP(C803,Calculations!$C$2:$D$7,2)+VLOOKUP(D803,Calculations!$E$2:$F$6,2)+VLOOKUP(E803,Calculations!$G$2:$H$6,2)</f>
        <v>6264</v>
      </c>
      <c r="B803" t="s">
        <v>51</v>
      </c>
      <c r="C803" t="s">
        <v>20</v>
      </c>
      <c r="D803" t="s">
        <v>15</v>
      </c>
      <c r="E803" t="s">
        <v>25</v>
      </c>
      <c r="F803">
        <v>1</v>
      </c>
      <c r="G803">
        <v>0</v>
      </c>
      <c r="H803">
        <f t="shared" si="48"/>
        <v>0</v>
      </c>
      <c r="I803">
        <v>1</v>
      </c>
      <c r="J803">
        <f t="shared" si="49"/>
        <v>6264</v>
      </c>
      <c r="K803">
        <v>0</v>
      </c>
      <c r="L803">
        <f t="shared" si="50"/>
        <v>0</v>
      </c>
      <c r="M803">
        <v>0</v>
      </c>
      <c r="N803">
        <f t="shared" si="51"/>
        <v>0</v>
      </c>
    </row>
    <row r="804" spans="1:14" x14ac:dyDescent="0.25">
      <c r="A804">
        <f>VLOOKUP(B804,Calculations!$A$2:$B$10,2)+VLOOKUP(C804,Calculations!$C$2:$D$7,2)+VLOOKUP(D804,Calculations!$E$2:$F$6,2)+VLOOKUP(E804,Calculations!$G$2:$H$6,2)</f>
        <v>6271</v>
      </c>
      <c r="B804" t="s">
        <v>52</v>
      </c>
      <c r="C804" t="s">
        <v>20</v>
      </c>
      <c r="D804" t="s">
        <v>54</v>
      </c>
      <c r="E804" t="s">
        <v>25</v>
      </c>
      <c r="F804">
        <v>1</v>
      </c>
      <c r="G804">
        <v>1</v>
      </c>
      <c r="H804">
        <f t="shared" si="48"/>
        <v>6271</v>
      </c>
      <c r="I804">
        <v>1</v>
      </c>
      <c r="J804">
        <f t="shared" si="49"/>
        <v>6271</v>
      </c>
      <c r="K804">
        <v>0</v>
      </c>
      <c r="L804">
        <f t="shared" si="50"/>
        <v>0</v>
      </c>
      <c r="M804">
        <v>0</v>
      </c>
      <c r="N804">
        <f t="shared" si="51"/>
        <v>0</v>
      </c>
    </row>
    <row r="805" spans="1:14" x14ac:dyDescent="0.25">
      <c r="A805">
        <f>VLOOKUP(B805,Calculations!$A$2:$B$10,2)+VLOOKUP(C805,Calculations!$C$2:$D$7,2)+VLOOKUP(D805,Calculations!$E$2:$F$6,2)+VLOOKUP(E805,Calculations!$G$2:$H$6,2)</f>
        <v>6272</v>
      </c>
      <c r="B805" t="s">
        <v>52</v>
      </c>
      <c r="C805" t="s">
        <v>20</v>
      </c>
      <c r="D805" t="s">
        <v>13</v>
      </c>
      <c r="E805" t="s">
        <v>25</v>
      </c>
      <c r="F805">
        <v>1</v>
      </c>
      <c r="G805">
        <v>1</v>
      </c>
      <c r="H805">
        <f t="shared" si="48"/>
        <v>6272</v>
      </c>
      <c r="I805">
        <v>1</v>
      </c>
      <c r="J805">
        <f t="shared" si="49"/>
        <v>6272</v>
      </c>
      <c r="K805">
        <v>0</v>
      </c>
      <c r="L805">
        <f t="shared" si="50"/>
        <v>0</v>
      </c>
      <c r="M805">
        <v>0</v>
      </c>
      <c r="N805">
        <f t="shared" si="51"/>
        <v>0</v>
      </c>
    </row>
    <row r="806" spans="1:14" x14ac:dyDescent="0.25">
      <c r="A806">
        <f>VLOOKUP(B806,Calculations!$A$2:$B$10,2)+VLOOKUP(C806,Calculations!$C$2:$D$7,2)+VLOOKUP(D806,Calculations!$E$2:$F$6,2)+VLOOKUP(E806,Calculations!$G$2:$H$6,2)</f>
        <v>6273</v>
      </c>
      <c r="B806" t="s">
        <v>52</v>
      </c>
      <c r="C806" t="s">
        <v>20</v>
      </c>
      <c r="D806" t="s">
        <v>14</v>
      </c>
      <c r="E806" t="s">
        <v>25</v>
      </c>
      <c r="F806">
        <v>1</v>
      </c>
      <c r="G806">
        <v>1</v>
      </c>
      <c r="H806">
        <f t="shared" si="48"/>
        <v>6273</v>
      </c>
      <c r="I806">
        <v>1</v>
      </c>
      <c r="J806">
        <f t="shared" si="49"/>
        <v>6273</v>
      </c>
      <c r="K806">
        <v>0</v>
      </c>
      <c r="L806">
        <f t="shared" si="50"/>
        <v>0</v>
      </c>
      <c r="M806">
        <v>0</v>
      </c>
      <c r="N806">
        <f t="shared" si="51"/>
        <v>0</v>
      </c>
    </row>
    <row r="807" spans="1:14" x14ac:dyDescent="0.25">
      <c r="A807">
        <f>VLOOKUP(B807,Calculations!$A$2:$B$10,2)+VLOOKUP(C807,Calculations!$C$2:$D$7,2)+VLOOKUP(D807,Calculations!$E$2:$F$6,2)+VLOOKUP(E807,Calculations!$G$2:$H$6,2)</f>
        <v>6274</v>
      </c>
      <c r="B807" t="s">
        <v>52</v>
      </c>
      <c r="C807" t="s">
        <v>20</v>
      </c>
      <c r="D807" t="s">
        <v>15</v>
      </c>
      <c r="E807" t="s">
        <v>25</v>
      </c>
      <c r="F807">
        <v>1</v>
      </c>
      <c r="G807">
        <v>1</v>
      </c>
      <c r="H807">
        <f t="shared" si="48"/>
        <v>6274</v>
      </c>
      <c r="I807">
        <v>1</v>
      </c>
      <c r="J807">
        <f t="shared" si="49"/>
        <v>6274</v>
      </c>
      <c r="K807">
        <v>0</v>
      </c>
      <c r="L807">
        <f t="shared" si="50"/>
        <v>0</v>
      </c>
      <c r="M807">
        <v>0</v>
      </c>
      <c r="N807">
        <f t="shared" si="51"/>
        <v>0</v>
      </c>
    </row>
    <row r="808" spans="1:14" x14ac:dyDescent="0.25">
      <c r="A808">
        <f>VLOOKUP(B808,Calculations!$A$2:$B$10,2)+VLOOKUP(C808,Calculations!$C$2:$D$7,2)+VLOOKUP(D808,Calculations!$E$2:$F$6,2)+VLOOKUP(E808,Calculations!$G$2:$H$6,2)</f>
        <v>6281</v>
      </c>
      <c r="B808" t="s">
        <v>8</v>
      </c>
      <c r="C808" t="s">
        <v>20</v>
      </c>
      <c r="D808" t="s">
        <v>54</v>
      </c>
      <c r="E808" t="s">
        <v>25</v>
      </c>
      <c r="F808">
        <v>1</v>
      </c>
      <c r="G808">
        <v>1</v>
      </c>
      <c r="H808">
        <f t="shared" si="48"/>
        <v>6281</v>
      </c>
      <c r="I808">
        <v>1</v>
      </c>
      <c r="J808">
        <f t="shared" si="49"/>
        <v>6281</v>
      </c>
      <c r="K808">
        <v>0</v>
      </c>
      <c r="L808">
        <f t="shared" si="50"/>
        <v>0</v>
      </c>
      <c r="M808">
        <v>0</v>
      </c>
      <c r="N808">
        <f t="shared" si="51"/>
        <v>0</v>
      </c>
    </row>
    <row r="809" spans="1:14" x14ac:dyDescent="0.25">
      <c r="A809">
        <f>VLOOKUP(B809,Calculations!$A$2:$B$10,2)+VLOOKUP(C809,Calculations!$C$2:$D$7,2)+VLOOKUP(D809,Calculations!$E$2:$F$6,2)+VLOOKUP(E809,Calculations!$G$2:$H$6,2)</f>
        <v>6282</v>
      </c>
      <c r="B809" t="s">
        <v>8</v>
      </c>
      <c r="C809" t="s">
        <v>20</v>
      </c>
      <c r="D809" t="s">
        <v>13</v>
      </c>
      <c r="E809" t="s">
        <v>25</v>
      </c>
      <c r="F809">
        <v>1</v>
      </c>
      <c r="G809">
        <v>1</v>
      </c>
      <c r="H809">
        <f t="shared" si="48"/>
        <v>6282</v>
      </c>
      <c r="I809">
        <v>1</v>
      </c>
      <c r="J809">
        <f t="shared" si="49"/>
        <v>6282</v>
      </c>
      <c r="K809">
        <v>0</v>
      </c>
      <c r="L809">
        <f t="shared" si="50"/>
        <v>0</v>
      </c>
      <c r="M809">
        <v>0</v>
      </c>
      <c r="N809">
        <f t="shared" si="51"/>
        <v>0</v>
      </c>
    </row>
    <row r="810" spans="1:14" x14ac:dyDescent="0.25">
      <c r="A810">
        <f>VLOOKUP(B810,Calculations!$A$2:$B$10,2)+VLOOKUP(C810,Calculations!$C$2:$D$7,2)+VLOOKUP(D810,Calculations!$E$2:$F$6,2)+VLOOKUP(E810,Calculations!$G$2:$H$6,2)</f>
        <v>6283</v>
      </c>
      <c r="B810" t="s">
        <v>8</v>
      </c>
      <c r="C810" t="s">
        <v>20</v>
      </c>
      <c r="D810" t="s">
        <v>14</v>
      </c>
      <c r="E810" t="s">
        <v>25</v>
      </c>
      <c r="F810">
        <v>1</v>
      </c>
      <c r="G810">
        <v>1</v>
      </c>
      <c r="H810">
        <f t="shared" si="48"/>
        <v>6283</v>
      </c>
      <c r="I810">
        <v>1</v>
      </c>
      <c r="J810">
        <f t="shared" si="49"/>
        <v>6283</v>
      </c>
      <c r="K810">
        <v>0</v>
      </c>
      <c r="L810">
        <f t="shared" si="50"/>
        <v>0</v>
      </c>
      <c r="M810">
        <v>0</v>
      </c>
      <c r="N810">
        <f t="shared" si="51"/>
        <v>0</v>
      </c>
    </row>
    <row r="811" spans="1:14" x14ac:dyDescent="0.25">
      <c r="A811">
        <f>VLOOKUP(B811,Calculations!$A$2:$B$10,2)+VLOOKUP(C811,Calculations!$C$2:$D$7,2)+VLOOKUP(D811,Calculations!$E$2:$F$6,2)+VLOOKUP(E811,Calculations!$G$2:$H$6,2)</f>
        <v>6284</v>
      </c>
      <c r="B811" t="s">
        <v>8</v>
      </c>
      <c r="C811" t="s">
        <v>20</v>
      </c>
      <c r="D811" t="s">
        <v>15</v>
      </c>
      <c r="E811" t="s">
        <v>25</v>
      </c>
      <c r="F811">
        <v>1</v>
      </c>
      <c r="G811">
        <v>1</v>
      </c>
      <c r="H811">
        <f t="shared" si="48"/>
        <v>6284</v>
      </c>
      <c r="I811">
        <v>1</v>
      </c>
      <c r="J811">
        <f t="shared" si="49"/>
        <v>6284</v>
      </c>
      <c r="K811">
        <v>0</v>
      </c>
      <c r="L811">
        <f t="shared" si="50"/>
        <v>0</v>
      </c>
      <c r="M811">
        <v>0</v>
      </c>
      <c r="N811">
        <f t="shared" si="51"/>
        <v>0</v>
      </c>
    </row>
    <row r="812" spans="1:14" x14ac:dyDescent="0.25">
      <c r="A812">
        <f>VLOOKUP(B812,Calculations!$A$2:$B$10,2)+VLOOKUP(C812,Calculations!$C$2:$D$7,2)+VLOOKUP(D812,Calculations!$E$2:$F$6,2)+VLOOKUP(E812,Calculations!$G$2:$H$6,2)</f>
        <v>6301</v>
      </c>
      <c r="B812" t="s">
        <v>5</v>
      </c>
      <c r="C812" t="s">
        <v>20</v>
      </c>
      <c r="D812" t="s">
        <v>54</v>
      </c>
      <c r="E812" t="s">
        <v>26</v>
      </c>
      <c r="F812">
        <v>1</v>
      </c>
      <c r="G812">
        <v>1</v>
      </c>
      <c r="H812">
        <f t="shared" si="48"/>
        <v>6301</v>
      </c>
      <c r="I812">
        <v>0</v>
      </c>
      <c r="J812">
        <f t="shared" si="49"/>
        <v>0</v>
      </c>
      <c r="K812">
        <v>0</v>
      </c>
      <c r="L812">
        <f t="shared" si="50"/>
        <v>0</v>
      </c>
      <c r="M812">
        <v>0</v>
      </c>
      <c r="N812">
        <f t="shared" si="51"/>
        <v>0</v>
      </c>
    </row>
    <row r="813" spans="1:14" x14ac:dyDescent="0.25">
      <c r="A813">
        <f>VLOOKUP(B813,Calculations!$A$2:$B$10,2)+VLOOKUP(C813,Calculations!$C$2:$D$7,2)+VLOOKUP(D813,Calculations!$E$2:$F$6,2)+VLOOKUP(E813,Calculations!$G$2:$H$6,2)</f>
        <v>6302</v>
      </c>
      <c r="B813" t="s">
        <v>5</v>
      </c>
      <c r="C813" t="s">
        <v>20</v>
      </c>
      <c r="D813" t="s">
        <v>13</v>
      </c>
      <c r="E813" t="s">
        <v>26</v>
      </c>
      <c r="F813">
        <v>1</v>
      </c>
      <c r="G813">
        <v>1</v>
      </c>
      <c r="H813">
        <f t="shared" si="48"/>
        <v>6302</v>
      </c>
      <c r="I813">
        <v>0</v>
      </c>
      <c r="J813">
        <f t="shared" si="49"/>
        <v>0</v>
      </c>
      <c r="K813">
        <v>0</v>
      </c>
      <c r="L813">
        <f t="shared" si="50"/>
        <v>0</v>
      </c>
      <c r="M813">
        <v>0</v>
      </c>
      <c r="N813">
        <f t="shared" si="51"/>
        <v>0</v>
      </c>
    </row>
    <row r="814" spans="1:14" x14ac:dyDescent="0.25">
      <c r="A814">
        <f>VLOOKUP(B814,Calculations!$A$2:$B$10,2)+VLOOKUP(C814,Calculations!$C$2:$D$7,2)+VLOOKUP(D814,Calculations!$E$2:$F$6,2)+VLOOKUP(E814,Calculations!$G$2:$H$6,2)</f>
        <v>6303</v>
      </c>
      <c r="B814" t="s">
        <v>5</v>
      </c>
      <c r="C814" t="s">
        <v>20</v>
      </c>
      <c r="D814" t="s">
        <v>14</v>
      </c>
      <c r="E814" t="s">
        <v>26</v>
      </c>
      <c r="F814">
        <v>1</v>
      </c>
      <c r="G814">
        <v>1</v>
      </c>
      <c r="H814">
        <f t="shared" si="48"/>
        <v>6303</v>
      </c>
      <c r="I814">
        <v>0</v>
      </c>
      <c r="J814">
        <f t="shared" si="49"/>
        <v>0</v>
      </c>
      <c r="K814">
        <v>0</v>
      </c>
      <c r="L814">
        <f t="shared" si="50"/>
        <v>0</v>
      </c>
      <c r="M814">
        <v>0</v>
      </c>
      <c r="N814">
        <f t="shared" si="51"/>
        <v>0</v>
      </c>
    </row>
    <row r="815" spans="1:14" x14ac:dyDescent="0.25">
      <c r="A815">
        <f>VLOOKUP(B815,Calculations!$A$2:$B$10,2)+VLOOKUP(C815,Calculations!$C$2:$D$7,2)+VLOOKUP(D815,Calculations!$E$2:$F$6,2)+VLOOKUP(E815,Calculations!$G$2:$H$6,2)</f>
        <v>6304</v>
      </c>
      <c r="B815" t="s">
        <v>5</v>
      </c>
      <c r="C815" t="s">
        <v>20</v>
      </c>
      <c r="D815" t="s">
        <v>15</v>
      </c>
      <c r="E815" t="s">
        <v>26</v>
      </c>
      <c r="F815">
        <v>0</v>
      </c>
      <c r="G815">
        <v>0</v>
      </c>
      <c r="H815">
        <f t="shared" si="48"/>
        <v>0</v>
      </c>
      <c r="I815">
        <v>0</v>
      </c>
      <c r="J815">
        <f t="shared" si="49"/>
        <v>0</v>
      </c>
      <c r="K815">
        <v>0</v>
      </c>
      <c r="L815">
        <f t="shared" si="50"/>
        <v>0</v>
      </c>
      <c r="M815">
        <v>0</v>
      </c>
      <c r="N815">
        <f t="shared" si="51"/>
        <v>0</v>
      </c>
    </row>
    <row r="816" spans="1:14" x14ac:dyDescent="0.25">
      <c r="A816">
        <f>VLOOKUP(B816,Calculations!$A$2:$B$10,2)+VLOOKUP(C816,Calculations!$C$2:$D$7,2)+VLOOKUP(D816,Calculations!$E$2:$F$6,2)+VLOOKUP(E816,Calculations!$G$2:$H$6,2)</f>
        <v>6311</v>
      </c>
      <c r="B816" t="s">
        <v>6</v>
      </c>
      <c r="C816" t="s">
        <v>20</v>
      </c>
      <c r="D816" t="s">
        <v>54</v>
      </c>
      <c r="E816" t="s">
        <v>26</v>
      </c>
      <c r="F816">
        <v>1</v>
      </c>
      <c r="G816">
        <v>1</v>
      </c>
      <c r="H816">
        <f t="shared" si="48"/>
        <v>6311</v>
      </c>
      <c r="I816">
        <v>0</v>
      </c>
      <c r="J816">
        <f t="shared" si="49"/>
        <v>0</v>
      </c>
      <c r="K816">
        <v>0</v>
      </c>
      <c r="L816">
        <f t="shared" si="50"/>
        <v>0</v>
      </c>
      <c r="M816">
        <v>0</v>
      </c>
      <c r="N816">
        <f t="shared" si="51"/>
        <v>0</v>
      </c>
    </row>
    <row r="817" spans="1:14" x14ac:dyDescent="0.25">
      <c r="A817">
        <f>VLOOKUP(B817,Calculations!$A$2:$B$10,2)+VLOOKUP(C817,Calculations!$C$2:$D$7,2)+VLOOKUP(D817,Calculations!$E$2:$F$6,2)+VLOOKUP(E817,Calculations!$G$2:$H$6,2)</f>
        <v>6312</v>
      </c>
      <c r="B817" t="s">
        <v>6</v>
      </c>
      <c r="C817" t="s">
        <v>20</v>
      </c>
      <c r="D817" t="s">
        <v>13</v>
      </c>
      <c r="E817" t="s">
        <v>26</v>
      </c>
      <c r="F817">
        <v>1</v>
      </c>
      <c r="G817">
        <v>1</v>
      </c>
      <c r="H817">
        <f t="shared" si="48"/>
        <v>6312</v>
      </c>
      <c r="I817">
        <v>0</v>
      </c>
      <c r="J817">
        <f t="shared" si="49"/>
        <v>0</v>
      </c>
      <c r="K817">
        <v>0</v>
      </c>
      <c r="L817">
        <f t="shared" si="50"/>
        <v>0</v>
      </c>
      <c r="M817">
        <v>0</v>
      </c>
      <c r="N817">
        <f t="shared" si="51"/>
        <v>0</v>
      </c>
    </row>
    <row r="818" spans="1:14" x14ac:dyDescent="0.25">
      <c r="A818">
        <f>VLOOKUP(B818,Calculations!$A$2:$B$10,2)+VLOOKUP(C818,Calculations!$C$2:$D$7,2)+VLOOKUP(D818,Calculations!$E$2:$F$6,2)+VLOOKUP(E818,Calculations!$G$2:$H$6,2)</f>
        <v>6313</v>
      </c>
      <c r="B818" t="s">
        <v>6</v>
      </c>
      <c r="C818" t="s">
        <v>20</v>
      </c>
      <c r="D818" t="s">
        <v>14</v>
      </c>
      <c r="E818" t="s">
        <v>26</v>
      </c>
      <c r="F818">
        <v>1</v>
      </c>
      <c r="G818">
        <v>1</v>
      </c>
      <c r="H818">
        <f t="shared" si="48"/>
        <v>6313</v>
      </c>
      <c r="I818">
        <v>0</v>
      </c>
      <c r="J818">
        <f t="shared" si="49"/>
        <v>0</v>
      </c>
      <c r="K818">
        <v>0</v>
      </c>
      <c r="L818">
        <f t="shared" si="50"/>
        <v>0</v>
      </c>
      <c r="M818">
        <v>0</v>
      </c>
      <c r="N818">
        <f t="shared" si="51"/>
        <v>0</v>
      </c>
    </row>
    <row r="819" spans="1:14" x14ac:dyDescent="0.25">
      <c r="A819">
        <f>VLOOKUP(B819,Calculations!$A$2:$B$10,2)+VLOOKUP(C819,Calculations!$C$2:$D$7,2)+VLOOKUP(D819,Calculations!$E$2:$F$6,2)+VLOOKUP(E819,Calculations!$G$2:$H$6,2)</f>
        <v>6314</v>
      </c>
      <c r="B819" t="s">
        <v>6</v>
      </c>
      <c r="C819" t="s">
        <v>20</v>
      </c>
      <c r="D819" t="s">
        <v>15</v>
      </c>
      <c r="E819" t="s">
        <v>26</v>
      </c>
      <c r="F819">
        <v>0</v>
      </c>
      <c r="G819">
        <v>0</v>
      </c>
      <c r="H819">
        <f t="shared" si="48"/>
        <v>0</v>
      </c>
      <c r="I819">
        <v>0</v>
      </c>
      <c r="J819">
        <f t="shared" si="49"/>
        <v>0</v>
      </c>
      <c r="K819">
        <v>0</v>
      </c>
      <c r="L819">
        <f t="shared" si="50"/>
        <v>0</v>
      </c>
      <c r="M819">
        <v>0</v>
      </c>
      <c r="N819">
        <f t="shared" si="51"/>
        <v>0</v>
      </c>
    </row>
    <row r="820" spans="1:14" x14ac:dyDescent="0.25">
      <c r="A820">
        <f>VLOOKUP(B820,Calculations!$A$2:$B$10,2)+VLOOKUP(C820,Calculations!$C$2:$D$7,2)+VLOOKUP(D820,Calculations!$E$2:$F$6,2)+VLOOKUP(E820,Calculations!$G$2:$H$6,2)</f>
        <v>6321</v>
      </c>
      <c r="B820" t="s">
        <v>7</v>
      </c>
      <c r="C820" t="s">
        <v>20</v>
      </c>
      <c r="D820" t="s">
        <v>54</v>
      </c>
      <c r="E820" t="s">
        <v>26</v>
      </c>
      <c r="F820">
        <v>1</v>
      </c>
      <c r="G820">
        <v>1</v>
      </c>
      <c r="H820">
        <f t="shared" si="48"/>
        <v>6321</v>
      </c>
      <c r="I820">
        <v>0</v>
      </c>
      <c r="J820">
        <f t="shared" si="49"/>
        <v>0</v>
      </c>
      <c r="K820">
        <v>0</v>
      </c>
      <c r="L820">
        <f t="shared" si="50"/>
        <v>0</v>
      </c>
      <c r="M820">
        <v>0</v>
      </c>
      <c r="N820">
        <f t="shared" si="51"/>
        <v>0</v>
      </c>
    </row>
    <row r="821" spans="1:14" x14ac:dyDescent="0.25">
      <c r="A821">
        <f>VLOOKUP(B821,Calculations!$A$2:$B$10,2)+VLOOKUP(C821,Calculations!$C$2:$D$7,2)+VLOOKUP(D821,Calculations!$E$2:$F$6,2)+VLOOKUP(E821,Calculations!$G$2:$H$6,2)</f>
        <v>6322</v>
      </c>
      <c r="B821" t="s">
        <v>7</v>
      </c>
      <c r="C821" t="s">
        <v>20</v>
      </c>
      <c r="D821" t="s">
        <v>13</v>
      </c>
      <c r="E821" t="s">
        <v>26</v>
      </c>
      <c r="F821">
        <v>1</v>
      </c>
      <c r="G821">
        <v>1</v>
      </c>
      <c r="H821">
        <f t="shared" si="48"/>
        <v>6322</v>
      </c>
      <c r="I821">
        <v>0</v>
      </c>
      <c r="J821">
        <f t="shared" si="49"/>
        <v>0</v>
      </c>
      <c r="K821">
        <v>0</v>
      </c>
      <c r="L821">
        <f t="shared" si="50"/>
        <v>0</v>
      </c>
      <c r="M821">
        <v>0</v>
      </c>
      <c r="N821">
        <f t="shared" si="51"/>
        <v>0</v>
      </c>
    </row>
    <row r="822" spans="1:14" x14ac:dyDescent="0.25">
      <c r="A822">
        <f>VLOOKUP(B822,Calculations!$A$2:$B$10,2)+VLOOKUP(C822,Calculations!$C$2:$D$7,2)+VLOOKUP(D822,Calculations!$E$2:$F$6,2)+VLOOKUP(E822,Calculations!$G$2:$H$6,2)</f>
        <v>6323</v>
      </c>
      <c r="B822" t="s">
        <v>7</v>
      </c>
      <c r="C822" t="s">
        <v>20</v>
      </c>
      <c r="D822" t="s">
        <v>14</v>
      </c>
      <c r="E822" t="s">
        <v>26</v>
      </c>
      <c r="F822">
        <v>1</v>
      </c>
      <c r="G822">
        <v>1</v>
      </c>
      <c r="H822">
        <f t="shared" si="48"/>
        <v>6323</v>
      </c>
      <c r="I822">
        <v>0</v>
      </c>
      <c r="J822">
        <f t="shared" si="49"/>
        <v>0</v>
      </c>
      <c r="K822">
        <v>0</v>
      </c>
      <c r="L822">
        <f t="shared" si="50"/>
        <v>0</v>
      </c>
      <c r="M822">
        <v>0</v>
      </c>
      <c r="N822">
        <f t="shared" si="51"/>
        <v>0</v>
      </c>
    </row>
    <row r="823" spans="1:14" x14ac:dyDescent="0.25">
      <c r="A823">
        <f>VLOOKUP(B823,Calculations!$A$2:$B$10,2)+VLOOKUP(C823,Calculations!$C$2:$D$7,2)+VLOOKUP(D823,Calculations!$E$2:$F$6,2)+VLOOKUP(E823,Calculations!$G$2:$H$6,2)</f>
        <v>6324</v>
      </c>
      <c r="B823" t="s">
        <v>7</v>
      </c>
      <c r="C823" t="s">
        <v>20</v>
      </c>
      <c r="D823" t="s">
        <v>15</v>
      </c>
      <c r="E823" t="s">
        <v>26</v>
      </c>
      <c r="F823">
        <v>1</v>
      </c>
      <c r="G823">
        <v>1</v>
      </c>
      <c r="H823">
        <f t="shared" si="48"/>
        <v>6324</v>
      </c>
      <c r="I823">
        <v>0</v>
      </c>
      <c r="J823">
        <f t="shared" si="49"/>
        <v>0</v>
      </c>
      <c r="K823">
        <v>0</v>
      </c>
      <c r="L823">
        <f t="shared" si="50"/>
        <v>0</v>
      </c>
      <c r="M823">
        <v>0</v>
      </c>
      <c r="N823">
        <f t="shared" si="51"/>
        <v>0</v>
      </c>
    </row>
    <row r="824" spans="1:14" x14ac:dyDescent="0.25">
      <c r="A824">
        <f>VLOOKUP(B824,Calculations!$A$2:$B$10,2)+VLOOKUP(C824,Calculations!$C$2:$D$7,2)+VLOOKUP(D824,Calculations!$E$2:$F$6,2)+VLOOKUP(E824,Calculations!$G$2:$H$6,2)</f>
        <v>6331</v>
      </c>
      <c r="B824" t="s">
        <v>53</v>
      </c>
      <c r="C824" t="s">
        <v>20</v>
      </c>
      <c r="D824" t="s">
        <v>54</v>
      </c>
      <c r="E824" t="s">
        <v>26</v>
      </c>
      <c r="F824">
        <v>1</v>
      </c>
      <c r="G824">
        <v>1</v>
      </c>
      <c r="H824">
        <f t="shared" si="48"/>
        <v>6331</v>
      </c>
      <c r="I824">
        <v>0</v>
      </c>
      <c r="J824">
        <f t="shared" si="49"/>
        <v>0</v>
      </c>
      <c r="K824">
        <v>0</v>
      </c>
      <c r="L824">
        <f t="shared" si="50"/>
        <v>0</v>
      </c>
      <c r="M824">
        <v>0</v>
      </c>
      <c r="N824">
        <f t="shared" si="51"/>
        <v>0</v>
      </c>
    </row>
    <row r="825" spans="1:14" x14ac:dyDescent="0.25">
      <c r="A825">
        <f>VLOOKUP(B825,Calculations!$A$2:$B$10,2)+VLOOKUP(C825,Calculations!$C$2:$D$7,2)+VLOOKUP(D825,Calculations!$E$2:$F$6,2)+VLOOKUP(E825,Calculations!$G$2:$H$6,2)</f>
        <v>6332</v>
      </c>
      <c r="B825" t="s">
        <v>53</v>
      </c>
      <c r="C825" t="s">
        <v>20</v>
      </c>
      <c r="D825" t="s">
        <v>13</v>
      </c>
      <c r="E825" t="s">
        <v>26</v>
      </c>
      <c r="F825">
        <v>1</v>
      </c>
      <c r="G825">
        <v>1</v>
      </c>
      <c r="H825">
        <f t="shared" si="48"/>
        <v>6332</v>
      </c>
      <c r="I825">
        <v>0</v>
      </c>
      <c r="J825">
        <f t="shared" si="49"/>
        <v>0</v>
      </c>
      <c r="K825">
        <v>0</v>
      </c>
      <c r="L825">
        <f t="shared" si="50"/>
        <v>0</v>
      </c>
      <c r="M825">
        <v>0</v>
      </c>
      <c r="N825">
        <f t="shared" si="51"/>
        <v>0</v>
      </c>
    </row>
    <row r="826" spans="1:14" x14ac:dyDescent="0.25">
      <c r="A826">
        <f>VLOOKUP(B826,Calculations!$A$2:$B$10,2)+VLOOKUP(C826,Calculations!$C$2:$D$7,2)+VLOOKUP(D826,Calculations!$E$2:$F$6,2)+VLOOKUP(E826,Calculations!$G$2:$H$6,2)</f>
        <v>6333</v>
      </c>
      <c r="B826" t="s">
        <v>53</v>
      </c>
      <c r="C826" t="s">
        <v>20</v>
      </c>
      <c r="D826" t="s">
        <v>14</v>
      </c>
      <c r="E826" t="s">
        <v>26</v>
      </c>
      <c r="F826">
        <v>1</v>
      </c>
      <c r="G826">
        <v>1</v>
      </c>
      <c r="H826">
        <f t="shared" si="48"/>
        <v>6333</v>
      </c>
      <c r="I826">
        <v>0</v>
      </c>
      <c r="J826">
        <f t="shared" si="49"/>
        <v>0</v>
      </c>
      <c r="K826">
        <v>0</v>
      </c>
      <c r="L826">
        <f t="shared" si="50"/>
        <v>0</v>
      </c>
      <c r="M826">
        <v>0</v>
      </c>
      <c r="N826">
        <f t="shared" si="51"/>
        <v>0</v>
      </c>
    </row>
    <row r="827" spans="1:14" x14ac:dyDescent="0.25">
      <c r="A827">
        <f>VLOOKUP(B827,Calculations!$A$2:$B$10,2)+VLOOKUP(C827,Calculations!$C$2:$D$7,2)+VLOOKUP(D827,Calculations!$E$2:$F$6,2)+VLOOKUP(E827,Calculations!$G$2:$H$6,2)</f>
        <v>6334</v>
      </c>
      <c r="B827" t="s">
        <v>53</v>
      </c>
      <c r="C827" t="s">
        <v>20</v>
      </c>
      <c r="D827" t="s">
        <v>15</v>
      </c>
      <c r="E827" t="s">
        <v>26</v>
      </c>
      <c r="F827">
        <v>1</v>
      </c>
      <c r="G827">
        <v>1</v>
      </c>
      <c r="H827">
        <f t="shared" si="48"/>
        <v>6334</v>
      </c>
      <c r="I827">
        <v>0</v>
      </c>
      <c r="J827">
        <f t="shared" si="49"/>
        <v>0</v>
      </c>
      <c r="K827">
        <v>0</v>
      </c>
      <c r="L827">
        <f t="shared" si="50"/>
        <v>0</v>
      </c>
      <c r="M827">
        <v>0</v>
      </c>
      <c r="N827">
        <f t="shared" si="51"/>
        <v>0</v>
      </c>
    </row>
    <row r="828" spans="1:14" x14ac:dyDescent="0.25">
      <c r="A828">
        <f>VLOOKUP(B828,Calculations!$A$2:$B$10,2)+VLOOKUP(C828,Calculations!$C$2:$D$7,2)+VLOOKUP(D828,Calculations!$E$2:$F$6,2)+VLOOKUP(E828,Calculations!$G$2:$H$6,2)</f>
        <v>6341</v>
      </c>
      <c r="B828" t="s">
        <v>9</v>
      </c>
      <c r="C828" t="s">
        <v>20</v>
      </c>
      <c r="D828" t="s">
        <v>54</v>
      </c>
      <c r="E828" t="s">
        <v>26</v>
      </c>
      <c r="F828">
        <v>1</v>
      </c>
      <c r="G828">
        <v>1</v>
      </c>
      <c r="H828">
        <f t="shared" si="48"/>
        <v>6341</v>
      </c>
      <c r="I828">
        <v>0</v>
      </c>
      <c r="J828">
        <f t="shared" si="49"/>
        <v>0</v>
      </c>
      <c r="K828">
        <v>0</v>
      </c>
      <c r="L828">
        <f t="shared" si="50"/>
        <v>0</v>
      </c>
      <c r="M828">
        <v>0</v>
      </c>
      <c r="N828">
        <f t="shared" si="51"/>
        <v>0</v>
      </c>
    </row>
    <row r="829" spans="1:14" x14ac:dyDescent="0.25">
      <c r="A829">
        <f>VLOOKUP(B829,Calculations!$A$2:$B$10,2)+VLOOKUP(C829,Calculations!$C$2:$D$7,2)+VLOOKUP(D829,Calculations!$E$2:$F$6,2)+VLOOKUP(E829,Calculations!$G$2:$H$6,2)</f>
        <v>6342</v>
      </c>
      <c r="B829" t="s">
        <v>9</v>
      </c>
      <c r="C829" t="s">
        <v>20</v>
      </c>
      <c r="D829" t="s">
        <v>13</v>
      </c>
      <c r="E829" t="s">
        <v>26</v>
      </c>
      <c r="F829">
        <v>0</v>
      </c>
      <c r="G829">
        <v>0</v>
      </c>
      <c r="H829">
        <f t="shared" si="48"/>
        <v>0</v>
      </c>
      <c r="I829">
        <v>0</v>
      </c>
      <c r="J829">
        <f t="shared" si="49"/>
        <v>0</v>
      </c>
      <c r="K829">
        <v>0</v>
      </c>
      <c r="L829">
        <f t="shared" si="50"/>
        <v>0</v>
      </c>
      <c r="M829">
        <v>0</v>
      </c>
      <c r="N829">
        <f t="shared" si="51"/>
        <v>0</v>
      </c>
    </row>
    <row r="830" spans="1:14" x14ac:dyDescent="0.25">
      <c r="A830">
        <f>VLOOKUP(B830,Calculations!$A$2:$B$10,2)+VLOOKUP(C830,Calculations!$C$2:$D$7,2)+VLOOKUP(D830,Calculations!$E$2:$F$6,2)+VLOOKUP(E830,Calculations!$G$2:$H$6,2)</f>
        <v>6343</v>
      </c>
      <c r="B830" t="s">
        <v>9</v>
      </c>
      <c r="C830" t="s">
        <v>20</v>
      </c>
      <c r="D830" t="s">
        <v>14</v>
      </c>
      <c r="E830" t="s">
        <v>26</v>
      </c>
      <c r="F830">
        <v>0</v>
      </c>
      <c r="G830">
        <v>0</v>
      </c>
      <c r="H830">
        <f t="shared" si="48"/>
        <v>0</v>
      </c>
      <c r="I830">
        <v>0</v>
      </c>
      <c r="J830">
        <f t="shared" si="49"/>
        <v>0</v>
      </c>
      <c r="K830">
        <v>0</v>
      </c>
      <c r="L830">
        <f t="shared" si="50"/>
        <v>0</v>
      </c>
      <c r="M830">
        <v>0</v>
      </c>
      <c r="N830">
        <f t="shared" si="51"/>
        <v>0</v>
      </c>
    </row>
    <row r="831" spans="1:14" x14ac:dyDescent="0.25">
      <c r="A831">
        <f>VLOOKUP(B831,Calculations!$A$2:$B$10,2)+VLOOKUP(C831,Calculations!$C$2:$D$7,2)+VLOOKUP(D831,Calculations!$E$2:$F$6,2)+VLOOKUP(E831,Calculations!$G$2:$H$6,2)</f>
        <v>6344</v>
      </c>
      <c r="B831" t="s">
        <v>9</v>
      </c>
      <c r="C831" t="s">
        <v>20</v>
      </c>
      <c r="D831" t="s">
        <v>15</v>
      </c>
      <c r="E831" t="s">
        <v>26</v>
      </c>
      <c r="F831">
        <v>0</v>
      </c>
      <c r="G831">
        <v>0</v>
      </c>
      <c r="H831">
        <f t="shared" si="48"/>
        <v>0</v>
      </c>
      <c r="I831">
        <v>0</v>
      </c>
      <c r="J831">
        <f t="shared" si="49"/>
        <v>0</v>
      </c>
      <c r="K831">
        <v>0</v>
      </c>
      <c r="L831">
        <f t="shared" si="50"/>
        <v>0</v>
      </c>
      <c r="M831">
        <v>0</v>
      </c>
      <c r="N831">
        <f t="shared" si="51"/>
        <v>0</v>
      </c>
    </row>
    <row r="832" spans="1:14" x14ac:dyDescent="0.25">
      <c r="A832">
        <f>VLOOKUP(B832,Calculations!$A$2:$B$10,2)+VLOOKUP(C832,Calculations!$C$2:$D$7,2)+VLOOKUP(D832,Calculations!$E$2:$F$6,2)+VLOOKUP(E832,Calculations!$G$2:$H$6,2)</f>
        <v>6351</v>
      </c>
      <c r="B832" t="s">
        <v>50</v>
      </c>
      <c r="C832" t="s">
        <v>20</v>
      </c>
      <c r="D832" t="s">
        <v>54</v>
      </c>
      <c r="E832" t="s">
        <v>26</v>
      </c>
      <c r="F832">
        <v>1</v>
      </c>
      <c r="G832">
        <v>1</v>
      </c>
      <c r="H832">
        <f t="shared" si="48"/>
        <v>6351</v>
      </c>
      <c r="I832">
        <v>0</v>
      </c>
      <c r="J832">
        <f t="shared" si="49"/>
        <v>0</v>
      </c>
      <c r="K832">
        <v>0</v>
      </c>
      <c r="L832">
        <f t="shared" si="50"/>
        <v>0</v>
      </c>
      <c r="M832">
        <v>0</v>
      </c>
      <c r="N832">
        <f t="shared" si="51"/>
        <v>0</v>
      </c>
    </row>
    <row r="833" spans="1:14" x14ac:dyDescent="0.25">
      <c r="A833">
        <f>VLOOKUP(B833,Calculations!$A$2:$B$10,2)+VLOOKUP(C833,Calculations!$C$2:$D$7,2)+VLOOKUP(D833,Calculations!$E$2:$F$6,2)+VLOOKUP(E833,Calculations!$G$2:$H$6,2)</f>
        <v>6352</v>
      </c>
      <c r="B833" t="s">
        <v>50</v>
      </c>
      <c r="C833" t="s">
        <v>20</v>
      </c>
      <c r="D833" t="s">
        <v>13</v>
      </c>
      <c r="E833" t="s">
        <v>26</v>
      </c>
      <c r="F833">
        <v>1</v>
      </c>
      <c r="G833">
        <v>1</v>
      </c>
      <c r="H833">
        <f t="shared" si="48"/>
        <v>6352</v>
      </c>
      <c r="I833">
        <v>0</v>
      </c>
      <c r="J833">
        <f t="shared" si="49"/>
        <v>0</v>
      </c>
      <c r="K833">
        <v>0</v>
      </c>
      <c r="L833">
        <f t="shared" si="50"/>
        <v>0</v>
      </c>
      <c r="M833">
        <v>0</v>
      </c>
      <c r="N833">
        <f t="shared" si="51"/>
        <v>0</v>
      </c>
    </row>
    <row r="834" spans="1:14" x14ac:dyDescent="0.25">
      <c r="A834">
        <f>VLOOKUP(B834,Calculations!$A$2:$B$10,2)+VLOOKUP(C834,Calculations!$C$2:$D$7,2)+VLOOKUP(D834,Calculations!$E$2:$F$6,2)+VLOOKUP(E834,Calculations!$G$2:$H$6,2)</f>
        <v>6353</v>
      </c>
      <c r="B834" t="s">
        <v>50</v>
      </c>
      <c r="C834" t="s">
        <v>20</v>
      </c>
      <c r="D834" t="s">
        <v>14</v>
      </c>
      <c r="E834" t="s">
        <v>26</v>
      </c>
      <c r="F834">
        <v>1</v>
      </c>
      <c r="G834">
        <v>1</v>
      </c>
      <c r="H834">
        <f t="shared" ref="H834:H897" si="52">A834*G834</f>
        <v>6353</v>
      </c>
      <c r="I834">
        <v>0</v>
      </c>
      <c r="J834">
        <f t="shared" ref="J834:J897" si="53">A834*I834</f>
        <v>0</v>
      </c>
      <c r="K834">
        <v>0</v>
      </c>
      <c r="L834">
        <f t="shared" ref="L834:L897" si="54">K834*A834</f>
        <v>0</v>
      </c>
      <c r="M834">
        <v>0</v>
      </c>
      <c r="N834">
        <f t="shared" ref="N834:N897" si="55">A834*M834</f>
        <v>0</v>
      </c>
    </row>
    <row r="835" spans="1:14" x14ac:dyDescent="0.25">
      <c r="A835">
        <f>VLOOKUP(B835,Calculations!$A$2:$B$10,2)+VLOOKUP(C835,Calculations!$C$2:$D$7,2)+VLOOKUP(D835,Calculations!$E$2:$F$6,2)+VLOOKUP(E835,Calculations!$G$2:$H$6,2)</f>
        <v>6354</v>
      </c>
      <c r="B835" t="s">
        <v>50</v>
      </c>
      <c r="C835" t="s">
        <v>20</v>
      </c>
      <c r="D835" t="s">
        <v>15</v>
      </c>
      <c r="E835" t="s">
        <v>26</v>
      </c>
      <c r="F835">
        <v>1</v>
      </c>
      <c r="G835">
        <v>1</v>
      </c>
      <c r="H835">
        <f t="shared" si="52"/>
        <v>6354</v>
      </c>
      <c r="I835">
        <v>0</v>
      </c>
      <c r="J835">
        <f t="shared" si="53"/>
        <v>0</v>
      </c>
      <c r="K835">
        <v>0</v>
      </c>
      <c r="L835">
        <f t="shared" si="54"/>
        <v>0</v>
      </c>
      <c r="M835">
        <v>0</v>
      </c>
      <c r="N835">
        <f t="shared" si="55"/>
        <v>0</v>
      </c>
    </row>
    <row r="836" spans="1:14" x14ac:dyDescent="0.25">
      <c r="A836">
        <f>VLOOKUP(B836,Calculations!$A$2:$B$10,2)+VLOOKUP(C836,Calculations!$C$2:$D$7,2)+VLOOKUP(D836,Calculations!$E$2:$F$6,2)+VLOOKUP(E836,Calculations!$G$2:$H$6,2)</f>
        <v>6361</v>
      </c>
      <c r="B836" t="s">
        <v>51</v>
      </c>
      <c r="C836" t="s">
        <v>20</v>
      </c>
      <c r="D836" t="s">
        <v>54</v>
      </c>
      <c r="E836" t="s">
        <v>26</v>
      </c>
      <c r="F836">
        <v>1</v>
      </c>
      <c r="G836">
        <v>0</v>
      </c>
      <c r="H836">
        <f t="shared" si="52"/>
        <v>0</v>
      </c>
      <c r="I836">
        <v>0</v>
      </c>
      <c r="J836">
        <f t="shared" si="53"/>
        <v>0</v>
      </c>
      <c r="K836">
        <v>0</v>
      </c>
      <c r="L836">
        <f t="shared" si="54"/>
        <v>0</v>
      </c>
      <c r="M836">
        <v>0</v>
      </c>
      <c r="N836">
        <f t="shared" si="55"/>
        <v>0</v>
      </c>
    </row>
    <row r="837" spans="1:14" x14ac:dyDescent="0.25">
      <c r="A837">
        <f>VLOOKUP(B837,Calculations!$A$2:$B$10,2)+VLOOKUP(C837,Calculations!$C$2:$D$7,2)+VLOOKUP(D837,Calculations!$E$2:$F$6,2)+VLOOKUP(E837,Calculations!$G$2:$H$6,2)</f>
        <v>6362</v>
      </c>
      <c r="B837" t="s">
        <v>51</v>
      </c>
      <c r="C837" t="s">
        <v>20</v>
      </c>
      <c r="D837" t="s">
        <v>13</v>
      </c>
      <c r="E837" t="s">
        <v>26</v>
      </c>
      <c r="F837">
        <v>1</v>
      </c>
      <c r="G837">
        <v>0</v>
      </c>
      <c r="H837">
        <f t="shared" si="52"/>
        <v>0</v>
      </c>
      <c r="I837">
        <v>0</v>
      </c>
      <c r="J837">
        <f t="shared" si="53"/>
        <v>0</v>
      </c>
      <c r="K837">
        <v>0</v>
      </c>
      <c r="L837">
        <f t="shared" si="54"/>
        <v>0</v>
      </c>
      <c r="M837">
        <v>0</v>
      </c>
      <c r="N837">
        <f t="shared" si="55"/>
        <v>0</v>
      </c>
    </row>
    <row r="838" spans="1:14" x14ac:dyDescent="0.25">
      <c r="A838">
        <f>VLOOKUP(B838,Calculations!$A$2:$B$10,2)+VLOOKUP(C838,Calculations!$C$2:$D$7,2)+VLOOKUP(D838,Calculations!$E$2:$F$6,2)+VLOOKUP(E838,Calculations!$G$2:$H$6,2)</f>
        <v>6363</v>
      </c>
      <c r="B838" t="s">
        <v>51</v>
      </c>
      <c r="C838" t="s">
        <v>20</v>
      </c>
      <c r="D838" t="s">
        <v>14</v>
      </c>
      <c r="E838" t="s">
        <v>26</v>
      </c>
      <c r="F838">
        <v>1</v>
      </c>
      <c r="G838">
        <v>0</v>
      </c>
      <c r="H838">
        <f t="shared" si="52"/>
        <v>0</v>
      </c>
      <c r="I838">
        <v>0</v>
      </c>
      <c r="J838">
        <f t="shared" si="53"/>
        <v>0</v>
      </c>
      <c r="K838">
        <v>0</v>
      </c>
      <c r="L838">
        <f t="shared" si="54"/>
        <v>0</v>
      </c>
      <c r="M838">
        <v>0</v>
      </c>
      <c r="N838">
        <f t="shared" si="55"/>
        <v>0</v>
      </c>
    </row>
    <row r="839" spans="1:14" x14ac:dyDescent="0.25">
      <c r="A839">
        <f>VLOOKUP(B839,Calculations!$A$2:$B$10,2)+VLOOKUP(C839,Calculations!$C$2:$D$7,2)+VLOOKUP(D839,Calculations!$E$2:$F$6,2)+VLOOKUP(E839,Calculations!$G$2:$H$6,2)</f>
        <v>6364</v>
      </c>
      <c r="B839" t="s">
        <v>51</v>
      </c>
      <c r="C839" t="s">
        <v>20</v>
      </c>
      <c r="D839" t="s">
        <v>15</v>
      </c>
      <c r="E839" t="s">
        <v>26</v>
      </c>
      <c r="F839">
        <v>1</v>
      </c>
      <c r="G839">
        <v>0</v>
      </c>
      <c r="H839">
        <f t="shared" si="52"/>
        <v>0</v>
      </c>
      <c r="I839">
        <v>0</v>
      </c>
      <c r="J839">
        <f t="shared" si="53"/>
        <v>0</v>
      </c>
      <c r="K839">
        <v>0</v>
      </c>
      <c r="L839">
        <f t="shared" si="54"/>
        <v>0</v>
      </c>
      <c r="M839">
        <v>0</v>
      </c>
      <c r="N839">
        <f t="shared" si="55"/>
        <v>0</v>
      </c>
    </row>
    <row r="840" spans="1:14" x14ac:dyDescent="0.25">
      <c r="A840">
        <f>VLOOKUP(B840,Calculations!$A$2:$B$10,2)+VLOOKUP(C840,Calculations!$C$2:$D$7,2)+VLOOKUP(D840,Calculations!$E$2:$F$6,2)+VLOOKUP(E840,Calculations!$G$2:$H$6,2)</f>
        <v>6371</v>
      </c>
      <c r="B840" t="s">
        <v>52</v>
      </c>
      <c r="C840" t="s">
        <v>20</v>
      </c>
      <c r="D840" t="s">
        <v>54</v>
      </c>
      <c r="E840" t="s">
        <v>26</v>
      </c>
      <c r="F840">
        <v>1</v>
      </c>
      <c r="G840">
        <v>1</v>
      </c>
      <c r="H840">
        <f t="shared" si="52"/>
        <v>6371</v>
      </c>
      <c r="I840">
        <v>0</v>
      </c>
      <c r="J840">
        <f t="shared" si="53"/>
        <v>0</v>
      </c>
      <c r="K840">
        <v>0</v>
      </c>
      <c r="L840">
        <f t="shared" si="54"/>
        <v>0</v>
      </c>
      <c r="M840">
        <v>0</v>
      </c>
      <c r="N840">
        <f t="shared" si="55"/>
        <v>0</v>
      </c>
    </row>
    <row r="841" spans="1:14" x14ac:dyDescent="0.25">
      <c r="A841">
        <f>VLOOKUP(B841,Calculations!$A$2:$B$10,2)+VLOOKUP(C841,Calculations!$C$2:$D$7,2)+VLOOKUP(D841,Calculations!$E$2:$F$6,2)+VLOOKUP(E841,Calculations!$G$2:$H$6,2)</f>
        <v>6372</v>
      </c>
      <c r="B841" t="s">
        <v>52</v>
      </c>
      <c r="C841" t="s">
        <v>20</v>
      </c>
      <c r="D841" t="s">
        <v>13</v>
      </c>
      <c r="E841" t="s">
        <v>26</v>
      </c>
      <c r="F841">
        <v>1</v>
      </c>
      <c r="G841">
        <v>1</v>
      </c>
      <c r="H841">
        <f t="shared" si="52"/>
        <v>6372</v>
      </c>
      <c r="I841">
        <v>0</v>
      </c>
      <c r="J841">
        <f t="shared" si="53"/>
        <v>0</v>
      </c>
      <c r="K841">
        <v>0</v>
      </c>
      <c r="L841">
        <f t="shared" si="54"/>
        <v>0</v>
      </c>
      <c r="M841">
        <v>0</v>
      </c>
      <c r="N841">
        <f t="shared" si="55"/>
        <v>0</v>
      </c>
    </row>
    <row r="842" spans="1:14" x14ac:dyDescent="0.25">
      <c r="A842">
        <f>VLOOKUP(B842,Calculations!$A$2:$B$10,2)+VLOOKUP(C842,Calculations!$C$2:$D$7,2)+VLOOKUP(D842,Calculations!$E$2:$F$6,2)+VLOOKUP(E842,Calculations!$G$2:$H$6,2)</f>
        <v>6373</v>
      </c>
      <c r="B842" t="s">
        <v>52</v>
      </c>
      <c r="C842" t="s">
        <v>20</v>
      </c>
      <c r="D842" t="s">
        <v>14</v>
      </c>
      <c r="E842" t="s">
        <v>26</v>
      </c>
      <c r="F842">
        <v>1</v>
      </c>
      <c r="G842">
        <v>1</v>
      </c>
      <c r="H842">
        <f t="shared" si="52"/>
        <v>6373</v>
      </c>
      <c r="I842">
        <v>0</v>
      </c>
      <c r="J842">
        <f t="shared" si="53"/>
        <v>0</v>
      </c>
      <c r="K842">
        <v>0</v>
      </c>
      <c r="L842">
        <f t="shared" si="54"/>
        <v>0</v>
      </c>
      <c r="M842">
        <v>0</v>
      </c>
      <c r="N842">
        <f t="shared" si="55"/>
        <v>0</v>
      </c>
    </row>
    <row r="843" spans="1:14" x14ac:dyDescent="0.25">
      <c r="A843">
        <f>VLOOKUP(B843,Calculations!$A$2:$B$10,2)+VLOOKUP(C843,Calculations!$C$2:$D$7,2)+VLOOKUP(D843,Calculations!$E$2:$F$6,2)+VLOOKUP(E843,Calculations!$G$2:$H$6,2)</f>
        <v>6374</v>
      </c>
      <c r="B843" t="s">
        <v>52</v>
      </c>
      <c r="C843" t="s">
        <v>20</v>
      </c>
      <c r="D843" t="s">
        <v>15</v>
      </c>
      <c r="E843" t="s">
        <v>26</v>
      </c>
      <c r="F843">
        <v>1</v>
      </c>
      <c r="G843">
        <v>1</v>
      </c>
      <c r="H843">
        <f t="shared" si="52"/>
        <v>6374</v>
      </c>
      <c r="I843">
        <v>0</v>
      </c>
      <c r="J843">
        <f t="shared" si="53"/>
        <v>0</v>
      </c>
      <c r="K843">
        <v>0</v>
      </c>
      <c r="L843">
        <f t="shared" si="54"/>
        <v>0</v>
      </c>
      <c r="M843">
        <v>0</v>
      </c>
      <c r="N843">
        <f t="shared" si="55"/>
        <v>0</v>
      </c>
    </row>
    <row r="844" spans="1:14" x14ac:dyDescent="0.25">
      <c r="A844">
        <f>VLOOKUP(B844,Calculations!$A$2:$B$10,2)+VLOOKUP(C844,Calculations!$C$2:$D$7,2)+VLOOKUP(D844,Calculations!$E$2:$F$6,2)+VLOOKUP(E844,Calculations!$G$2:$H$6,2)</f>
        <v>6381</v>
      </c>
      <c r="B844" t="s">
        <v>8</v>
      </c>
      <c r="C844" t="s">
        <v>20</v>
      </c>
      <c r="D844" t="s">
        <v>54</v>
      </c>
      <c r="E844" t="s">
        <v>26</v>
      </c>
      <c r="F844">
        <v>1</v>
      </c>
      <c r="G844">
        <v>1</v>
      </c>
      <c r="H844">
        <f t="shared" si="52"/>
        <v>6381</v>
      </c>
      <c r="I844">
        <v>0</v>
      </c>
      <c r="J844">
        <f t="shared" si="53"/>
        <v>0</v>
      </c>
      <c r="K844">
        <v>0</v>
      </c>
      <c r="L844">
        <f t="shared" si="54"/>
        <v>0</v>
      </c>
      <c r="M844">
        <v>0</v>
      </c>
      <c r="N844">
        <f t="shared" si="55"/>
        <v>0</v>
      </c>
    </row>
    <row r="845" spans="1:14" x14ac:dyDescent="0.25">
      <c r="A845">
        <f>VLOOKUP(B845,Calculations!$A$2:$B$10,2)+VLOOKUP(C845,Calculations!$C$2:$D$7,2)+VLOOKUP(D845,Calculations!$E$2:$F$6,2)+VLOOKUP(E845,Calculations!$G$2:$H$6,2)</f>
        <v>6382</v>
      </c>
      <c r="B845" t="s">
        <v>8</v>
      </c>
      <c r="C845" t="s">
        <v>20</v>
      </c>
      <c r="D845" t="s">
        <v>13</v>
      </c>
      <c r="E845" t="s">
        <v>26</v>
      </c>
      <c r="F845">
        <v>1</v>
      </c>
      <c r="G845">
        <v>1</v>
      </c>
      <c r="H845">
        <f t="shared" si="52"/>
        <v>6382</v>
      </c>
      <c r="I845">
        <v>0</v>
      </c>
      <c r="J845">
        <f t="shared" si="53"/>
        <v>0</v>
      </c>
      <c r="K845">
        <v>0</v>
      </c>
      <c r="L845">
        <f t="shared" si="54"/>
        <v>0</v>
      </c>
      <c r="M845">
        <v>0</v>
      </c>
      <c r="N845">
        <f t="shared" si="55"/>
        <v>0</v>
      </c>
    </row>
    <row r="846" spans="1:14" x14ac:dyDescent="0.25">
      <c r="A846">
        <f>VLOOKUP(B846,Calculations!$A$2:$B$10,2)+VLOOKUP(C846,Calculations!$C$2:$D$7,2)+VLOOKUP(D846,Calculations!$E$2:$F$6,2)+VLOOKUP(E846,Calculations!$G$2:$H$6,2)</f>
        <v>6383</v>
      </c>
      <c r="B846" t="s">
        <v>8</v>
      </c>
      <c r="C846" t="s">
        <v>20</v>
      </c>
      <c r="D846" t="s">
        <v>14</v>
      </c>
      <c r="E846" t="s">
        <v>26</v>
      </c>
      <c r="F846">
        <v>1</v>
      </c>
      <c r="G846">
        <v>1</v>
      </c>
      <c r="H846">
        <f t="shared" si="52"/>
        <v>6383</v>
      </c>
      <c r="I846">
        <v>0</v>
      </c>
      <c r="J846">
        <f t="shared" si="53"/>
        <v>0</v>
      </c>
      <c r="K846">
        <v>0</v>
      </c>
      <c r="L846">
        <f t="shared" si="54"/>
        <v>0</v>
      </c>
      <c r="M846">
        <v>0</v>
      </c>
      <c r="N846">
        <f t="shared" si="55"/>
        <v>0</v>
      </c>
    </row>
    <row r="847" spans="1:14" x14ac:dyDescent="0.25">
      <c r="A847">
        <f>VLOOKUP(B847,Calculations!$A$2:$B$10,2)+VLOOKUP(C847,Calculations!$C$2:$D$7,2)+VLOOKUP(D847,Calculations!$E$2:$F$6,2)+VLOOKUP(E847,Calculations!$G$2:$H$6,2)</f>
        <v>6384</v>
      </c>
      <c r="B847" t="s">
        <v>8</v>
      </c>
      <c r="C847" t="s">
        <v>20</v>
      </c>
      <c r="D847" t="s">
        <v>15</v>
      </c>
      <c r="E847" t="s">
        <v>26</v>
      </c>
      <c r="F847">
        <v>1</v>
      </c>
      <c r="G847">
        <v>1</v>
      </c>
      <c r="H847">
        <f t="shared" si="52"/>
        <v>6384</v>
      </c>
      <c r="I847">
        <v>0</v>
      </c>
      <c r="J847">
        <f t="shared" si="53"/>
        <v>0</v>
      </c>
      <c r="K847">
        <v>0</v>
      </c>
      <c r="L847">
        <f t="shared" si="54"/>
        <v>0</v>
      </c>
      <c r="M847">
        <v>0</v>
      </c>
      <c r="N847">
        <f t="shared" si="55"/>
        <v>0</v>
      </c>
    </row>
    <row r="848" spans="1:14" x14ac:dyDescent="0.25">
      <c r="A848">
        <f>VLOOKUP(B848,Calculations!$A$2:$B$10,2)+VLOOKUP(C848,Calculations!$C$2:$D$7,2)+VLOOKUP(D848,Calculations!$E$2:$F$6,2)+VLOOKUP(E848,Calculations!$G$2:$H$6,2)</f>
        <v>6401</v>
      </c>
      <c r="B848" t="s">
        <v>5</v>
      </c>
      <c r="C848" t="s">
        <v>20</v>
      </c>
      <c r="D848" t="s">
        <v>54</v>
      </c>
      <c r="E848" t="s">
        <v>27</v>
      </c>
      <c r="F848">
        <v>1</v>
      </c>
      <c r="G848">
        <v>1</v>
      </c>
      <c r="H848">
        <f t="shared" si="52"/>
        <v>6401</v>
      </c>
      <c r="I848">
        <v>0</v>
      </c>
      <c r="J848">
        <f t="shared" si="53"/>
        <v>0</v>
      </c>
      <c r="K848">
        <v>0</v>
      </c>
      <c r="L848">
        <f t="shared" si="54"/>
        <v>0</v>
      </c>
      <c r="M848">
        <v>0</v>
      </c>
      <c r="N848">
        <f t="shared" si="55"/>
        <v>0</v>
      </c>
    </row>
    <row r="849" spans="1:14" x14ac:dyDescent="0.25">
      <c r="A849">
        <f>VLOOKUP(B849,Calculations!$A$2:$B$10,2)+VLOOKUP(C849,Calculations!$C$2:$D$7,2)+VLOOKUP(D849,Calculations!$E$2:$F$6,2)+VLOOKUP(E849,Calculations!$G$2:$H$6,2)</f>
        <v>6402</v>
      </c>
      <c r="B849" t="s">
        <v>5</v>
      </c>
      <c r="C849" t="s">
        <v>20</v>
      </c>
      <c r="D849" t="s">
        <v>13</v>
      </c>
      <c r="E849" t="s">
        <v>27</v>
      </c>
      <c r="F849">
        <v>1</v>
      </c>
      <c r="G849">
        <v>1</v>
      </c>
      <c r="H849">
        <f t="shared" si="52"/>
        <v>6402</v>
      </c>
      <c r="I849">
        <v>0</v>
      </c>
      <c r="J849">
        <f t="shared" si="53"/>
        <v>0</v>
      </c>
      <c r="K849">
        <v>0</v>
      </c>
      <c r="L849">
        <f t="shared" si="54"/>
        <v>0</v>
      </c>
      <c r="M849">
        <v>0</v>
      </c>
      <c r="N849">
        <f t="shared" si="55"/>
        <v>0</v>
      </c>
    </row>
    <row r="850" spans="1:14" x14ac:dyDescent="0.25">
      <c r="A850">
        <f>VLOOKUP(B850,Calculations!$A$2:$B$10,2)+VLOOKUP(C850,Calculations!$C$2:$D$7,2)+VLOOKUP(D850,Calculations!$E$2:$F$6,2)+VLOOKUP(E850,Calculations!$G$2:$H$6,2)</f>
        <v>6403</v>
      </c>
      <c r="B850" t="s">
        <v>5</v>
      </c>
      <c r="C850" t="s">
        <v>20</v>
      </c>
      <c r="D850" t="s">
        <v>14</v>
      </c>
      <c r="E850" t="s">
        <v>27</v>
      </c>
      <c r="F850">
        <v>1</v>
      </c>
      <c r="G850">
        <v>1</v>
      </c>
      <c r="H850">
        <f t="shared" si="52"/>
        <v>6403</v>
      </c>
      <c r="I850">
        <v>0</v>
      </c>
      <c r="J850">
        <f t="shared" si="53"/>
        <v>0</v>
      </c>
      <c r="K850">
        <v>0</v>
      </c>
      <c r="L850">
        <f t="shared" si="54"/>
        <v>0</v>
      </c>
      <c r="M850">
        <v>0</v>
      </c>
      <c r="N850">
        <f t="shared" si="55"/>
        <v>0</v>
      </c>
    </row>
    <row r="851" spans="1:14" x14ac:dyDescent="0.25">
      <c r="A851">
        <f>VLOOKUP(B851,Calculations!$A$2:$B$10,2)+VLOOKUP(C851,Calculations!$C$2:$D$7,2)+VLOOKUP(D851,Calculations!$E$2:$F$6,2)+VLOOKUP(E851,Calculations!$G$2:$H$6,2)</f>
        <v>6404</v>
      </c>
      <c r="B851" t="s">
        <v>5</v>
      </c>
      <c r="C851" t="s">
        <v>20</v>
      </c>
      <c r="D851" t="s">
        <v>15</v>
      </c>
      <c r="E851" t="s">
        <v>27</v>
      </c>
      <c r="F851">
        <v>0</v>
      </c>
      <c r="G851">
        <v>0</v>
      </c>
      <c r="H851">
        <f t="shared" si="52"/>
        <v>0</v>
      </c>
      <c r="I851">
        <v>0</v>
      </c>
      <c r="J851">
        <f t="shared" si="53"/>
        <v>0</v>
      </c>
      <c r="K851">
        <v>0</v>
      </c>
      <c r="L851">
        <f t="shared" si="54"/>
        <v>0</v>
      </c>
      <c r="M851">
        <v>0</v>
      </c>
      <c r="N851">
        <f t="shared" si="55"/>
        <v>0</v>
      </c>
    </row>
    <row r="852" spans="1:14" x14ac:dyDescent="0.25">
      <c r="A852">
        <f>VLOOKUP(B852,Calculations!$A$2:$B$10,2)+VLOOKUP(C852,Calculations!$C$2:$D$7,2)+VLOOKUP(D852,Calculations!$E$2:$F$6,2)+VLOOKUP(E852,Calculations!$G$2:$H$6,2)</f>
        <v>6411</v>
      </c>
      <c r="B852" t="s">
        <v>6</v>
      </c>
      <c r="C852" t="s">
        <v>20</v>
      </c>
      <c r="D852" t="s">
        <v>54</v>
      </c>
      <c r="E852" t="s">
        <v>27</v>
      </c>
      <c r="F852">
        <v>1</v>
      </c>
      <c r="G852">
        <v>1</v>
      </c>
      <c r="H852">
        <f t="shared" si="52"/>
        <v>6411</v>
      </c>
      <c r="I852">
        <v>0</v>
      </c>
      <c r="J852">
        <f t="shared" si="53"/>
        <v>0</v>
      </c>
      <c r="K852">
        <v>0</v>
      </c>
      <c r="L852">
        <f t="shared" si="54"/>
        <v>0</v>
      </c>
      <c r="M852">
        <v>0</v>
      </c>
      <c r="N852">
        <f t="shared" si="55"/>
        <v>0</v>
      </c>
    </row>
    <row r="853" spans="1:14" x14ac:dyDescent="0.25">
      <c r="A853">
        <f>VLOOKUP(B853,Calculations!$A$2:$B$10,2)+VLOOKUP(C853,Calculations!$C$2:$D$7,2)+VLOOKUP(D853,Calculations!$E$2:$F$6,2)+VLOOKUP(E853,Calculations!$G$2:$H$6,2)</f>
        <v>6412</v>
      </c>
      <c r="B853" t="s">
        <v>6</v>
      </c>
      <c r="C853" t="s">
        <v>20</v>
      </c>
      <c r="D853" t="s">
        <v>13</v>
      </c>
      <c r="E853" t="s">
        <v>27</v>
      </c>
      <c r="F853">
        <v>1</v>
      </c>
      <c r="G853">
        <v>1</v>
      </c>
      <c r="H853">
        <f t="shared" si="52"/>
        <v>6412</v>
      </c>
      <c r="I853">
        <v>0</v>
      </c>
      <c r="J853">
        <f t="shared" si="53"/>
        <v>0</v>
      </c>
      <c r="K853">
        <v>0</v>
      </c>
      <c r="L853">
        <f t="shared" si="54"/>
        <v>0</v>
      </c>
      <c r="M853">
        <v>0</v>
      </c>
      <c r="N853">
        <f t="shared" si="55"/>
        <v>0</v>
      </c>
    </row>
    <row r="854" spans="1:14" x14ac:dyDescent="0.25">
      <c r="A854">
        <f>VLOOKUP(B854,Calculations!$A$2:$B$10,2)+VLOOKUP(C854,Calculations!$C$2:$D$7,2)+VLOOKUP(D854,Calculations!$E$2:$F$6,2)+VLOOKUP(E854,Calculations!$G$2:$H$6,2)</f>
        <v>6413</v>
      </c>
      <c r="B854" t="s">
        <v>6</v>
      </c>
      <c r="C854" t="s">
        <v>20</v>
      </c>
      <c r="D854" t="s">
        <v>14</v>
      </c>
      <c r="E854" t="s">
        <v>27</v>
      </c>
      <c r="F854">
        <v>1</v>
      </c>
      <c r="G854">
        <v>1</v>
      </c>
      <c r="H854">
        <f t="shared" si="52"/>
        <v>6413</v>
      </c>
      <c r="I854">
        <v>0</v>
      </c>
      <c r="J854">
        <f t="shared" si="53"/>
        <v>0</v>
      </c>
      <c r="K854">
        <v>0</v>
      </c>
      <c r="L854">
        <f t="shared" si="54"/>
        <v>0</v>
      </c>
      <c r="M854">
        <v>0</v>
      </c>
      <c r="N854">
        <f t="shared" si="55"/>
        <v>0</v>
      </c>
    </row>
    <row r="855" spans="1:14" x14ac:dyDescent="0.25">
      <c r="A855">
        <f>VLOOKUP(B855,Calculations!$A$2:$B$10,2)+VLOOKUP(C855,Calculations!$C$2:$D$7,2)+VLOOKUP(D855,Calculations!$E$2:$F$6,2)+VLOOKUP(E855,Calculations!$G$2:$H$6,2)</f>
        <v>6414</v>
      </c>
      <c r="B855" t="s">
        <v>6</v>
      </c>
      <c r="C855" t="s">
        <v>20</v>
      </c>
      <c r="D855" t="s">
        <v>15</v>
      </c>
      <c r="E855" t="s">
        <v>27</v>
      </c>
      <c r="F855">
        <v>0</v>
      </c>
      <c r="G855">
        <v>0</v>
      </c>
      <c r="H855">
        <f t="shared" si="52"/>
        <v>0</v>
      </c>
      <c r="I855">
        <v>0</v>
      </c>
      <c r="J855">
        <f t="shared" si="53"/>
        <v>0</v>
      </c>
      <c r="K855">
        <v>0</v>
      </c>
      <c r="L855">
        <f t="shared" si="54"/>
        <v>0</v>
      </c>
      <c r="M855">
        <v>0</v>
      </c>
      <c r="N855">
        <f t="shared" si="55"/>
        <v>0</v>
      </c>
    </row>
    <row r="856" spans="1:14" x14ac:dyDescent="0.25">
      <c r="A856">
        <f>VLOOKUP(B856,Calculations!$A$2:$B$10,2)+VLOOKUP(C856,Calculations!$C$2:$D$7,2)+VLOOKUP(D856,Calculations!$E$2:$F$6,2)+VLOOKUP(E856,Calculations!$G$2:$H$6,2)</f>
        <v>6421</v>
      </c>
      <c r="B856" t="s">
        <v>7</v>
      </c>
      <c r="C856" t="s">
        <v>20</v>
      </c>
      <c r="D856" t="s">
        <v>54</v>
      </c>
      <c r="E856" t="s">
        <v>27</v>
      </c>
      <c r="F856">
        <v>1</v>
      </c>
      <c r="G856">
        <v>1</v>
      </c>
      <c r="H856">
        <f t="shared" si="52"/>
        <v>6421</v>
      </c>
      <c r="I856">
        <v>0</v>
      </c>
      <c r="J856">
        <f t="shared" si="53"/>
        <v>0</v>
      </c>
      <c r="K856">
        <v>0</v>
      </c>
      <c r="L856">
        <f t="shared" si="54"/>
        <v>0</v>
      </c>
      <c r="M856">
        <v>0</v>
      </c>
      <c r="N856">
        <f t="shared" si="55"/>
        <v>0</v>
      </c>
    </row>
    <row r="857" spans="1:14" x14ac:dyDescent="0.25">
      <c r="A857">
        <f>VLOOKUP(B857,Calculations!$A$2:$B$10,2)+VLOOKUP(C857,Calculations!$C$2:$D$7,2)+VLOOKUP(D857,Calculations!$E$2:$F$6,2)+VLOOKUP(E857,Calculations!$G$2:$H$6,2)</f>
        <v>6422</v>
      </c>
      <c r="B857" t="s">
        <v>7</v>
      </c>
      <c r="C857" t="s">
        <v>20</v>
      </c>
      <c r="D857" t="s">
        <v>13</v>
      </c>
      <c r="E857" t="s">
        <v>27</v>
      </c>
      <c r="F857">
        <v>1</v>
      </c>
      <c r="G857">
        <v>1</v>
      </c>
      <c r="H857">
        <f t="shared" si="52"/>
        <v>6422</v>
      </c>
      <c r="I857">
        <v>0</v>
      </c>
      <c r="J857">
        <f t="shared" si="53"/>
        <v>0</v>
      </c>
      <c r="K857">
        <v>0</v>
      </c>
      <c r="L857">
        <f t="shared" si="54"/>
        <v>0</v>
      </c>
      <c r="M857">
        <v>0</v>
      </c>
      <c r="N857">
        <f t="shared" si="55"/>
        <v>0</v>
      </c>
    </row>
    <row r="858" spans="1:14" x14ac:dyDescent="0.25">
      <c r="A858">
        <f>VLOOKUP(B858,Calculations!$A$2:$B$10,2)+VLOOKUP(C858,Calculations!$C$2:$D$7,2)+VLOOKUP(D858,Calculations!$E$2:$F$6,2)+VLOOKUP(E858,Calculations!$G$2:$H$6,2)</f>
        <v>6423</v>
      </c>
      <c r="B858" t="s">
        <v>7</v>
      </c>
      <c r="C858" t="s">
        <v>20</v>
      </c>
      <c r="D858" t="s">
        <v>14</v>
      </c>
      <c r="E858" t="s">
        <v>27</v>
      </c>
      <c r="F858">
        <v>1</v>
      </c>
      <c r="G858">
        <v>1</v>
      </c>
      <c r="H858">
        <f t="shared" si="52"/>
        <v>6423</v>
      </c>
      <c r="I858">
        <v>0</v>
      </c>
      <c r="J858">
        <f t="shared" si="53"/>
        <v>0</v>
      </c>
      <c r="K858">
        <v>0</v>
      </c>
      <c r="L858">
        <f t="shared" si="54"/>
        <v>0</v>
      </c>
      <c r="M858">
        <v>0</v>
      </c>
      <c r="N858">
        <f t="shared" si="55"/>
        <v>0</v>
      </c>
    </row>
    <row r="859" spans="1:14" x14ac:dyDescent="0.25">
      <c r="A859">
        <f>VLOOKUP(B859,Calculations!$A$2:$B$10,2)+VLOOKUP(C859,Calculations!$C$2:$D$7,2)+VLOOKUP(D859,Calculations!$E$2:$F$6,2)+VLOOKUP(E859,Calculations!$G$2:$H$6,2)</f>
        <v>6424</v>
      </c>
      <c r="B859" t="s">
        <v>7</v>
      </c>
      <c r="C859" t="s">
        <v>20</v>
      </c>
      <c r="D859" t="s">
        <v>15</v>
      </c>
      <c r="E859" t="s">
        <v>27</v>
      </c>
      <c r="F859">
        <v>1</v>
      </c>
      <c r="G859">
        <v>1</v>
      </c>
      <c r="H859">
        <f t="shared" si="52"/>
        <v>6424</v>
      </c>
      <c r="I859">
        <v>0</v>
      </c>
      <c r="J859">
        <f t="shared" si="53"/>
        <v>0</v>
      </c>
      <c r="K859">
        <v>0</v>
      </c>
      <c r="L859">
        <f t="shared" si="54"/>
        <v>0</v>
      </c>
      <c r="M859">
        <v>0</v>
      </c>
      <c r="N859">
        <f t="shared" si="55"/>
        <v>0</v>
      </c>
    </row>
    <row r="860" spans="1:14" x14ac:dyDescent="0.25">
      <c r="A860">
        <f>VLOOKUP(B860,Calculations!$A$2:$B$10,2)+VLOOKUP(C860,Calculations!$C$2:$D$7,2)+VLOOKUP(D860,Calculations!$E$2:$F$6,2)+VLOOKUP(E860,Calculations!$G$2:$H$6,2)</f>
        <v>6431</v>
      </c>
      <c r="B860" t="s">
        <v>53</v>
      </c>
      <c r="C860" t="s">
        <v>20</v>
      </c>
      <c r="D860" t="s">
        <v>54</v>
      </c>
      <c r="E860" t="s">
        <v>27</v>
      </c>
      <c r="F860">
        <v>1</v>
      </c>
      <c r="G860">
        <v>1</v>
      </c>
      <c r="H860">
        <f t="shared" si="52"/>
        <v>6431</v>
      </c>
      <c r="I860">
        <v>0</v>
      </c>
      <c r="J860">
        <f t="shared" si="53"/>
        <v>0</v>
      </c>
      <c r="K860">
        <v>0</v>
      </c>
      <c r="L860">
        <f t="shared" si="54"/>
        <v>0</v>
      </c>
      <c r="M860">
        <v>0</v>
      </c>
      <c r="N860">
        <f t="shared" si="55"/>
        <v>0</v>
      </c>
    </row>
    <row r="861" spans="1:14" x14ac:dyDescent="0.25">
      <c r="A861">
        <f>VLOOKUP(B861,Calculations!$A$2:$B$10,2)+VLOOKUP(C861,Calculations!$C$2:$D$7,2)+VLOOKUP(D861,Calculations!$E$2:$F$6,2)+VLOOKUP(E861,Calculations!$G$2:$H$6,2)</f>
        <v>6432</v>
      </c>
      <c r="B861" t="s">
        <v>53</v>
      </c>
      <c r="C861" t="s">
        <v>20</v>
      </c>
      <c r="D861" t="s">
        <v>13</v>
      </c>
      <c r="E861" t="s">
        <v>27</v>
      </c>
      <c r="F861">
        <v>1</v>
      </c>
      <c r="G861">
        <v>1</v>
      </c>
      <c r="H861">
        <f t="shared" si="52"/>
        <v>6432</v>
      </c>
      <c r="I861">
        <v>0</v>
      </c>
      <c r="J861">
        <f t="shared" si="53"/>
        <v>0</v>
      </c>
      <c r="K861">
        <v>0</v>
      </c>
      <c r="L861">
        <f t="shared" si="54"/>
        <v>0</v>
      </c>
      <c r="M861">
        <v>0</v>
      </c>
      <c r="N861">
        <f t="shared" si="55"/>
        <v>0</v>
      </c>
    </row>
    <row r="862" spans="1:14" x14ac:dyDescent="0.25">
      <c r="A862">
        <f>VLOOKUP(B862,Calculations!$A$2:$B$10,2)+VLOOKUP(C862,Calculations!$C$2:$D$7,2)+VLOOKUP(D862,Calculations!$E$2:$F$6,2)+VLOOKUP(E862,Calculations!$G$2:$H$6,2)</f>
        <v>6433</v>
      </c>
      <c r="B862" t="s">
        <v>53</v>
      </c>
      <c r="C862" t="s">
        <v>20</v>
      </c>
      <c r="D862" t="s">
        <v>14</v>
      </c>
      <c r="E862" t="s">
        <v>27</v>
      </c>
      <c r="F862">
        <v>1</v>
      </c>
      <c r="G862">
        <v>1</v>
      </c>
      <c r="H862">
        <f t="shared" si="52"/>
        <v>6433</v>
      </c>
      <c r="I862">
        <v>0</v>
      </c>
      <c r="J862">
        <f t="shared" si="53"/>
        <v>0</v>
      </c>
      <c r="K862">
        <v>0</v>
      </c>
      <c r="L862">
        <f t="shared" si="54"/>
        <v>0</v>
      </c>
      <c r="M862">
        <v>0</v>
      </c>
      <c r="N862">
        <f t="shared" si="55"/>
        <v>0</v>
      </c>
    </row>
    <row r="863" spans="1:14" x14ac:dyDescent="0.25">
      <c r="A863">
        <f>VLOOKUP(B863,Calculations!$A$2:$B$10,2)+VLOOKUP(C863,Calculations!$C$2:$D$7,2)+VLOOKUP(D863,Calculations!$E$2:$F$6,2)+VLOOKUP(E863,Calculations!$G$2:$H$6,2)</f>
        <v>6434</v>
      </c>
      <c r="B863" t="s">
        <v>53</v>
      </c>
      <c r="C863" t="s">
        <v>20</v>
      </c>
      <c r="D863" t="s">
        <v>15</v>
      </c>
      <c r="E863" t="s">
        <v>27</v>
      </c>
      <c r="F863">
        <v>1</v>
      </c>
      <c r="G863">
        <v>1</v>
      </c>
      <c r="H863">
        <f t="shared" si="52"/>
        <v>6434</v>
      </c>
      <c r="I863">
        <v>0</v>
      </c>
      <c r="J863">
        <f t="shared" si="53"/>
        <v>0</v>
      </c>
      <c r="K863">
        <v>0</v>
      </c>
      <c r="L863">
        <f t="shared" si="54"/>
        <v>0</v>
      </c>
      <c r="M863">
        <v>0</v>
      </c>
      <c r="N863">
        <f t="shared" si="55"/>
        <v>0</v>
      </c>
    </row>
    <row r="864" spans="1:14" x14ac:dyDescent="0.25">
      <c r="A864">
        <f>VLOOKUP(B864,Calculations!$A$2:$B$10,2)+VLOOKUP(C864,Calculations!$C$2:$D$7,2)+VLOOKUP(D864,Calculations!$E$2:$F$6,2)+VLOOKUP(E864,Calculations!$G$2:$H$6,2)</f>
        <v>6441</v>
      </c>
      <c r="B864" t="s">
        <v>9</v>
      </c>
      <c r="C864" t="s">
        <v>20</v>
      </c>
      <c r="D864" t="s">
        <v>54</v>
      </c>
      <c r="E864" t="s">
        <v>27</v>
      </c>
      <c r="F864">
        <v>1</v>
      </c>
      <c r="G864">
        <v>1</v>
      </c>
      <c r="H864">
        <f t="shared" si="52"/>
        <v>6441</v>
      </c>
      <c r="I864">
        <v>0</v>
      </c>
      <c r="J864">
        <f t="shared" si="53"/>
        <v>0</v>
      </c>
      <c r="K864">
        <v>0</v>
      </c>
      <c r="L864">
        <f t="shared" si="54"/>
        <v>0</v>
      </c>
      <c r="M864">
        <v>0</v>
      </c>
      <c r="N864">
        <f t="shared" si="55"/>
        <v>0</v>
      </c>
    </row>
    <row r="865" spans="1:14" x14ac:dyDescent="0.25">
      <c r="A865">
        <f>VLOOKUP(B865,Calculations!$A$2:$B$10,2)+VLOOKUP(C865,Calculations!$C$2:$D$7,2)+VLOOKUP(D865,Calculations!$E$2:$F$6,2)+VLOOKUP(E865,Calculations!$G$2:$H$6,2)</f>
        <v>6442</v>
      </c>
      <c r="B865" t="s">
        <v>9</v>
      </c>
      <c r="C865" t="s">
        <v>20</v>
      </c>
      <c r="D865" t="s">
        <v>13</v>
      </c>
      <c r="E865" t="s">
        <v>27</v>
      </c>
      <c r="F865">
        <v>0</v>
      </c>
      <c r="G865">
        <v>0</v>
      </c>
      <c r="H865">
        <f t="shared" si="52"/>
        <v>0</v>
      </c>
      <c r="I865">
        <v>0</v>
      </c>
      <c r="J865">
        <f t="shared" si="53"/>
        <v>0</v>
      </c>
      <c r="K865">
        <v>0</v>
      </c>
      <c r="L865">
        <f t="shared" si="54"/>
        <v>0</v>
      </c>
      <c r="M865">
        <v>0</v>
      </c>
      <c r="N865">
        <f t="shared" si="55"/>
        <v>0</v>
      </c>
    </row>
    <row r="866" spans="1:14" x14ac:dyDescent="0.25">
      <c r="A866">
        <f>VLOOKUP(B866,Calculations!$A$2:$B$10,2)+VLOOKUP(C866,Calculations!$C$2:$D$7,2)+VLOOKUP(D866,Calculations!$E$2:$F$6,2)+VLOOKUP(E866,Calculations!$G$2:$H$6,2)</f>
        <v>6443</v>
      </c>
      <c r="B866" t="s">
        <v>9</v>
      </c>
      <c r="C866" t="s">
        <v>20</v>
      </c>
      <c r="D866" t="s">
        <v>14</v>
      </c>
      <c r="E866" t="s">
        <v>27</v>
      </c>
      <c r="F866">
        <v>0</v>
      </c>
      <c r="G866">
        <v>0</v>
      </c>
      <c r="H866">
        <f t="shared" si="52"/>
        <v>0</v>
      </c>
      <c r="I866">
        <v>0</v>
      </c>
      <c r="J866">
        <f t="shared" si="53"/>
        <v>0</v>
      </c>
      <c r="K866">
        <v>0</v>
      </c>
      <c r="L866">
        <f t="shared" si="54"/>
        <v>0</v>
      </c>
      <c r="M866">
        <v>0</v>
      </c>
      <c r="N866">
        <f t="shared" si="55"/>
        <v>0</v>
      </c>
    </row>
    <row r="867" spans="1:14" x14ac:dyDescent="0.25">
      <c r="A867">
        <f>VLOOKUP(B867,Calculations!$A$2:$B$10,2)+VLOOKUP(C867,Calculations!$C$2:$D$7,2)+VLOOKUP(D867,Calculations!$E$2:$F$6,2)+VLOOKUP(E867,Calculations!$G$2:$H$6,2)</f>
        <v>6444</v>
      </c>
      <c r="B867" t="s">
        <v>9</v>
      </c>
      <c r="C867" t="s">
        <v>20</v>
      </c>
      <c r="D867" t="s">
        <v>15</v>
      </c>
      <c r="E867" t="s">
        <v>27</v>
      </c>
      <c r="F867">
        <v>0</v>
      </c>
      <c r="G867">
        <v>0</v>
      </c>
      <c r="H867">
        <f t="shared" si="52"/>
        <v>0</v>
      </c>
      <c r="I867">
        <v>0</v>
      </c>
      <c r="J867">
        <f t="shared" si="53"/>
        <v>0</v>
      </c>
      <c r="K867">
        <v>0</v>
      </c>
      <c r="L867">
        <f t="shared" si="54"/>
        <v>0</v>
      </c>
      <c r="M867">
        <v>0</v>
      </c>
      <c r="N867">
        <f t="shared" si="55"/>
        <v>0</v>
      </c>
    </row>
    <row r="868" spans="1:14" x14ac:dyDescent="0.25">
      <c r="A868">
        <f>VLOOKUP(B868,Calculations!$A$2:$B$10,2)+VLOOKUP(C868,Calculations!$C$2:$D$7,2)+VLOOKUP(D868,Calculations!$E$2:$F$6,2)+VLOOKUP(E868,Calculations!$G$2:$H$6,2)</f>
        <v>6451</v>
      </c>
      <c r="B868" t="s">
        <v>50</v>
      </c>
      <c r="C868" t="s">
        <v>20</v>
      </c>
      <c r="D868" t="s">
        <v>54</v>
      </c>
      <c r="E868" t="s">
        <v>27</v>
      </c>
      <c r="F868">
        <v>1</v>
      </c>
      <c r="G868">
        <v>1</v>
      </c>
      <c r="H868">
        <f t="shared" si="52"/>
        <v>6451</v>
      </c>
      <c r="I868">
        <v>0</v>
      </c>
      <c r="J868">
        <f t="shared" si="53"/>
        <v>0</v>
      </c>
      <c r="K868">
        <v>0</v>
      </c>
      <c r="L868">
        <f t="shared" si="54"/>
        <v>0</v>
      </c>
      <c r="M868">
        <v>0</v>
      </c>
      <c r="N868">
        <f t="shared" si="55"/>
        <v>0</v>
      </c>
    </row>
    <row r="869" spans="1:14" x14ac:dyDescent="0.25">
      <c r="A869">
        <f>VLOOKUP(B869,Calculations!$A$2:$B$10,2)+VLOOKUP(C869,Calculations!$C$2:$D$7,2)+VLOOKUP(D869,Calculations!$E$2:$F$6,2)+VLOOKUP(E869,Calculations!$G$2:$H$6,2)</f>
        <v>6452</v>
      </c>
      <c r="B869" t="s">
        <v>50</v>
      </c>
      <c r="C869" t="s">
        <v>20</v>
      </c>
      <c r="D869" t="s">
        <v>13</v>
      </c>
      <c r="E869" t="s">
        <v>27</v>
      </c>
      <c r="F869">
        <v>1</v>
      </c>
      <c r="G869">
        <v>1</v>
      </c>
      <c r="H869">
        <f t="shared" si="52"/>
        <v>6452</v>
      </c>
      <c r="I869">
        <v>0</v>
      </c>
      <c r="J869">
        <f t="shared" si="53"/>
        <v>0</v>
      </c>
      <c r="K869">
        <v>0</v>
      </c>
      <c r="L869">
        <f t="shared" si="54"/>
        <v>0</v>
      </c>
      <c r="M869">
        <v>0</v>
      </c>
      <c r="N869">
        <f t="shared" si="55"/>
        <v>0</v>
      </c>
    </row>
    <row r="870" spans="1:14" x14ac:dyDescent="0.25">
      <c r="A870">
        <f>VLOOKUP(B870,Calculations!$A$2:$B$10,2)+VLOOKUP(C870,Calculations!$C$2:$D$7,2)+VLOOKUP(D870,Calculations!$E$2:$F$6,2)+VLOOKUP(E870,Calculations!$G$2:$H$6,2)</f>
        <v>6453</v>
      </c>
      <c r="B870" t="s">
        <v>50</v>
      </c>
      <c r="C870" t="s">
        <v>20</v>
      </c>
      <c r="D870" t="s">
        <v>14</v>
      </c>
      <c r="E870" t="s">
        <v>27</v>
      </c>
      <c r="F870">
        <v>1</v>
      </c>
      <c r="G870">
        <v>1</v>
      </c>
      <c r="H870">
        <f t="shared" si="52"/>
        <v>6453</v>
      </c>
      <c r="I870">
        <v>0</v>
      </c>
      <c r="J870">
        <f t="shared" si="53"/>
        <v>0</v>
      </c>
      <c r="K870">
        <v>0</v>
      </c>
      <c r="L870">
        <f t="shared" si="54"/>
        <v>0</v>
      </c>
      <c r="M870">
        <v>0</v>
      </c>
      <c r="N870">
        <f t="shared" si="55"/>
        <v>0</v>
      </c>
    </row>
    <row r="871" spans="1:14" x14ac:dyDescent="0.25">
      <c r="A871">
        <f>VLOOKUP(B871,Calculations!$A$2:$B$10,2)+VLOOKUP(C871,Calculations!$C$2:$D$7,2)+VLOOKUP(D871,Calculations!$E$2:$F$6,2)+VLOOKUP(E871,Calculations!$G$2:$H$6,2)</f>
        <v>6454</v>
      </c>
      <c r="B871" t="s">
        <v>50</v>
      </c>
      <c r="C871" t="s">
        <v>20</v>
      </c>
      <c r="D871" t="s">
        <v>15</v>
      </c>
      <c r="E871" t="s">
        <v>27</v>
      </c>
      <c r="F871">
        <v>1</v>
      </c>
      <c r="G871">
        <v>1</v>
      </c>
      <c r="H871">
        <f t="shared" si="52"/>
        <v>6454</v>
      </c>
      <c r="I871">
        <v>0</v>
      </c>
      <c r="J871">
        <f t="shared" si="53"/>
        <v>0</v>
      </c>
      <c r="K871">
        <v>0</v>
      </c>
      <c r="L871">
        <f t="shared" si="54"/>
        <v>0</v>
      </c>
      <c r="M871">
        <v>0</v>
      </c>
      <c r="N871">
        <f t="shared" si="55"/>
        <v>0</v>
      </c>
    </row>
    <row r="872" spans="1:14" x14ac:dyDescent="0.25">
      <c r="A872">
        <f>VLOOKUP(B872,Calculations!$A$2:$B$10,2)+VLOOKUP(C872,Calculations!$C$2:$D$7,2)+VLOOKUP(D872,Calculations!$E$2:$F$6,2)+VLOOKUP(E872,Calculations!$G$2:$H$6,2)</f>
        <v>6461</v>
      </c>
      <c r="B872" t="s">
        <v>51</v>
      </c>
      <c r="C872" t="s">
        <v>20</v>
      </c>
      <c r="D872" t="s">
        <v>54</v>
      </c>
      <c r="E872" t="s">
        <v>27</v>
      </c>
      <c r="F872">
        <v>1</v>
      </c>
      <c r="G872">
        <v>0</v>
      </c>
      <c r="H872">
        <f t="shared" si="52"/>
        <v>0</v>
      </c>
      <c r="I872">
        <v>0</v>
      </c>
      <c r="J872">
        <f t="shared" si="53"/>
        <v>0</v>
      </c>
      <c r="K872">
        <v>0</v>
      </c>
      <c r="L872">
        <f t="shared" si="54"/>
        <v>0</v>
      </c>
      <c r="M872">
        <v>0</v>
      </c>
      <c r="N872">
        <f t="shared" si="55"/>
        <v>0</v>
      </c>
    </row>
    <row r="873" spans="1:14" x14ac:dyDescent="0.25">
      <c r="A873">
        <f>VLOOKUP(B873,Calculations!$A$2:$B$10,2)+VLOOKUP(C873,Calculations!$C$2:$D$7,2)+VLOOKUP(D873,Calculations!$E$2:$F$6,2)+VLOOKUP(E873,Calculations!$G$2:$H$6,2)</f>
        <v>6462</v>
      </c>
      <c r="B873" t="s">
        <v>51</v>
      </c>
      <c r="C873" t="s">
        <v>20</v>
      </c>
      <c r="D873" t="s">
        <v>13</v>
      </c>
      <c r="E873" t="s">
        <v>27</v>
      </c>
      <c r="F873">
        <v>1</v>
      </c>
      <c r="G873">
        <v>0</v>
      </c>
      <c r="H873">
        <f t="shared" si="52"/>
        <v>0</v>
      </c>
      <c r="I873">
        <v>0</v>
      </c>
      <c r="J873">
        <f t="shared" si="53"/>
        <v>0</v>
      </c>
      <c r="K873">
        <v>0</v>
      </c>
      <c r="L873">
        <f t="shared" si="54"/>
        <v>0</v>
      </c>
      <c r="M873">
        <v>0</v>
      </c>
      <c r="N873">
        <f t="shared" si="55"/>
        <v>0</v>
      </c>
    </row>
    <row r="874" spans="1:14" x14ac:dyDescent="0.25">
      <c r="A874">
        <f>VLOOKUP(B874,Calculations!$A$2:$B$10,2)+VLOOKUP(C874,Calculations!$C$2:$D$7,2)+VLOOKUP(D874,Calculations!$E$2:$F$6,2)+VLOOKUP(E874,Calculations!$G$2:$H$6,2)</f>
        <v>6463</v>
      </c>
      <c r="B874" t="s">
        <v>51</v>
      </c>
      <c r="C874" t="s">
        <v>20</v>
      </c>
      <c r="D874" t="s">
        <v>14</v>
      </c>
      <c r="E874" t="s">
        <v>27</v>
      </c>
      <c r="F874">
        <v>1</v>
      </c>
      <c r="G874">
        <v>0</v>
      </c>
      <c r="H874">
        <f t="shared" si="52"/>
        <v>0</v>
      </c>
      <c r="I874">
        <v>0</v>
      </c>
      <c r="J874">
        <f t="shared" si="53"/>
        <v>0</v>
      </c>
      <c r="K874">
        <v>0</v>
      </c>
      <c r="L874">
        <f t="shared" si="54"/>
        <v>0</v>
      </c>
      <c r="M874">
        <v>0</v>
      </c>
      <c r="N874">
        <f t="shared" si="55"/>
        <v>0</v>
      </c>
    </row>
    <row r="875" spans="1:14" x14ac:dyDescent="0.25">
      <c r="A875">
        <f>VLOOKUP(B875,Calculations!$A$2:$B$10,2)+VLOOKUP(C875,Calculations!$C$2:$D$7,2)+VLOOKUP(D875,Calculations!$E$2:$F$6,2)+VLOOKUP(E875,Calculations!$G$2:$H$6,2)</f>
        <v>6464</v>
      </c>
      <c r="B875" t="s">
        <v>51</v>
      </c>
      <c r="C875" t="s">
        <v>20</v>
      </c>
      <c r="D875" t="s">
        <v>15</v>
      </c>
      <c r="E875" t="s">
        <v>27</v>
      </c>
      <c r="F875">
        <v>1</v>
      </c>
      <c r="G875">
        <v>0</v>
      </c>
      <c r="H875">
        <f t="shared" si="52"/>
        <v>0</v>
      </c>
      <c r="I875">
        <v>0</v>
      </c>
      <c r="J875">
        <f t="shared" si="53"/>
        <v>0</v>
      </c>
      <c r="K875">
        <v>0</v>
      </c>
      <c r="L875">
        <f t="shared" si="54"/>
        <v>0</v>
      </c>
      <c r="M875">
        <v>0</v>
      </c>
      <c r="N875">
        <f t="shared" si="55"/>
        <v>0</v>
      </c>
    </row>
    <row r="876" spans="1:14" x14ac:dyDescent="0.25">
      <c r="A876">
        <f>VLOOKUP(B876,Calculations!$A$2:$B$10,2)+VLOOKUP(C876,Calculations!$C$2:$D$7,2)+VLOOKUP(D876,Calculations!$E$2:$F$6,2)+VLOOKUP(E876,Calculations!$G$2:$H$6,2)</f>
        <v>6471</v>
      </c>
      <c r="B876" t="s">
        <v>52</v>
      </c>
      <c r="C876" t="s">
        <v>20</v>
      </c>
      <c r="D876" t="s">
        <v>54</v>
      </c>
      <c r="E876" t="s">
        <v>27</v>
      </c>
      <c r="F876">
        <v>1</v>
      </c>
      <c r="G876">
        <v>1</v>
      </c>
      <c r="H876">
        <f t="shared" si="52"/>
        <v>6471</v>
      </c>
      <c r="I876">
        <v>0</v>
      </c>
      <c r="J876">
        <f t="shared" si="53"/>
        <v>0</v>
      </c>
      <c r="K876">
        <v>0</v>
      </c>
      <c r="L876">
        <f t="shared" si="54"/>
        <v>0</v>
      </c>
      <c r="M876">
        <v>0</v>
      </c>
      <c r="N876">
        <f t="shared" si="55"/>
        <v>0</v>
      </c>
    </row>
    <row r="877" spans="1:14" x14ac:dyDescent="0.25">
      <c r="A877">
        <f>VLOOKUP(B877,Calculations!$A$2:$B$10,2)+VLOOKUP(C877,Calculations!$C$2:$D$7,2)+VLOOKUP(D877,Calculations!$E$2:$F$6,2)+VLOOKUP(E877,Calculations!$G$2:$H$6,2)</f>
        <v>6472</v>
      </c>
      <c r="B877" t="s">
        <v>52</v>
      </c>
      <c r="C877" t="s">
        <v>20</v>
      </c>
      <c r="D877" t="s">
        <v>13</v>
      </c>
      <c r="E877" t="s">
        <v>27</v>
      </c>
      <c r="F877">
        <v>1</v>
      </c>
      <c r="G877">
        <v>1</v>
      </c>
      <c r="H877">
        <f t="shared" si="52"/>
        <v>6472</v>
      </c>
      <c r="I877">
        <v>0</v>
      </c>
      <c r="J877">
        <f t="shared" si="53"/>
        <v>0</v>
      </c>
      <c r="K877">
        <v>0</v>
      </c>
      <c r="L877">
        <f t="shared" si="54"/>
        <v>0</v>
      </c>
      <c r="M877">
        <v>0</v>
      </c>
      <c r="N877">
        <f t="shared" si="55"/>
        <v>0</v>
      </c>
    </row>
    <row r="878" spans="1:14" x14ac:dyDescent="0.25">
      <c r="A878">
        <f>VLOOKUP(B878,Calculations!$A$2:$B$10,2)+VLOOKUP(C878,Calculations!$C$2:$D$7,2)+VLOOKUP(D878,Calculations!$E$2:$F$6,2)+VLOOKUP(E878,Calculations!$G$2:$H$6,2)</f>
        <v>6473</v>
      </c>
      <c r="B878" t="s">
        <v>52</v>
      </c>
      <c r="C878" t="s">
        <v>20</v>
      </c>
      <c r="D878" t="s">
        <v>14</v>
      </c>
      <c r="E878" t="s">
        <v>27</v>
      </c>
      <c r="F878">
        <v>1</v>
      </c>
      <c r="G878">
        <v>1</v>
      </c>
      <c r="H878">
        <f t="shared" si="52"/>
        <v>6473</v>
      </c>
      <c r="I878">
        <v>0</v>
      </c>
      <c r="J878">
        <f t="shared" si="53"/>
        <v>0</v>
      </c>
      <c r="K878">
        <v>0</v>
      </c>
      <c r="L878">
        <f t="shared" si="54"/>
        <v>0</v>
      </c>
      <c r="M878">
        <v>0</v>
      </c>
      <c r="N878">
        <f t="shared" si="55"/>
        <v>0</v>
      </c>
    </row>
    <row r="879" spans="1:14" x14ac:dyDescent="0.25">
      <c r="A879">
        <f>VLOOKUP(B879,Calculations!$A$2:$B$10,2)+VLOOKUP(C879,Calculations!$C$2:$D$7,2)+VLOOKUP(D879,Calculations!$E$2:$F$6,2)+VLOOKUP(E879,Calculations!$G$2:$H$6,2)</f>
        <v>6474</v>
      </c>
      <c r="B879" t="s">
        <v>52</v>
      </c>
      <c r="C879" t="s">
        <v>20</v>
      </c>
      <c r="D879" t="s">
        <v>15</v>
      </c>
      <c r="E879" t="s">
        <v>27</v>
      </c>
      <c r="F879">
        <v>1</v>
      </c>
      <c r="G879">
        <v>1</v>
      </c>
      <c r="H879">
        <f t="shared" si="52"/>
        <v>6474</v>
      </c>
      <c r="I879">
        <v>0</v>
      </c>
      <c r="J879">
        <f t="shared" si="53"/>
        <v>0</v>
      </c>
      <c r="K879">
        <v>0</v>
      </c>
      <c r="L879">
        <f t="shared" si="54"/>
        <v>0</v>
      </c>
      <c r="M879">
        <v>0</v>
      </c>
      <c r="N879">
        <f t="shared" si="55"/>
        <v>0</v>
      </c>
    </row>
    <row r="880" spans="1:14" x14ac:dyDescent="0.25">
      <c r="A880">
        <f>VLOOKUP(B880,Calculations!$A$2:$B$10,2)+VLOOKUP(C880,Calculations!$C$2:$D$7,2)+VLOOKUP(D880,Calculations!$E$2:$F$6,2)+VLOOKUP(E880,Calculations!$G$2:$H$6,2)</f>
        <v>6481</v>
      </c>
      <c r="B880" t="s">
        <v>8</v>
      </c>
      <c r="C880" t="s">
        <v>20</v>
      </c>
      <c r="D880" t="s">
        <v>54</v>
      </c>
      <c r="E880" t="s">
        <v>27</v>
      </c>
      <c r="F880">
        <v>1</v>
      </c>
      <c r="G880">
        <v>1</v>
      </c>
      <c r="H880">
        <f t="shared" si="52"/>
        <v>6481</v>
      </c>
      <c r="I880">
        <v>0</v>
      </c>
      <c r="J880">
        <f t="shared" si="53"/>
        <v>0</v>
      </c>
      <c r="K880">
        <v>0</v>
      </c>
      <c r="L880">
        <f t="shared" si="54"/>
        <v>0</v>
      </c>
      <c r="M880">
        <v>0</v>
      </c>
      <c r="N880">
        <f t="shared" si="55"/>
        <v>0</v>
      </c>
    </row>
    <row r="881" spans="1:14" x14ac:dyDescent="0.25">
      <c r="A881">
        <f>VLOOKUP(B881,Calculations!$A$2:$B$10,2)+VLOOKUP(C881,Calculations!$C$2:$D$7,2)+VLOOKUP(D881,Calculations!$E$2:$F$6,2)+VLOOKUP(E881,Calculations!$G$2:$H$6,2)</f>
        <v>6482</v>
      </c>
      <c r="B881" t="s">
        <v>8</v>
      </c>
      <c r="C881" t="s">
        <v>20</v>
      </c>
      <c r="D881" t="s">
        <v>13</v>
      </c>
      <c r="E881" t="s">
        <v>27</v>
      </c>
      <c r="F881">
        <v>1</v>
      </c>
      <c r="G881">
        <v>1</v>
      </c>
      <c r="H881">
        <f t="shared" si="52"/>
        <v>6482</v>
      </c>
      <c r="I881">
        <v>0</v>
      </c>
      <c r="J881">
        <f t="shared" si="53"/>
        <v>0</v>
      </c>
      <c r="K881">
        <v>0</v>
      </c>
      <c r="L881">
        <f t="shared" si="54"/>
        <v>0</v>
      </c>
      <c r="M881">
        <v>0</v>
      </c>
      <c r="N881">
        <f t="shared" si="55"/>
        <v>0</v>
      </c>
    </row>
    <row r="882" spans="1:14" x14ac:dyDescent="0.25">
      <c r="A882">
        <f>VLOOKUP(B882,Calculations!$A$2:$B$10,2)+VLOOKUP(C882,Calculations!$C$2:$D$7,2)+VLOOKUP(D882,Calculations!$E$2:$F$6,2)+VLOOKUP(E882,Calculations!$G$2:$H$6,2)</f>
        <v>6483</v>
      </c>
      <c r="B882" t="s">
        <v>8</v>
      </c>
      <c r="C882" t="s">
        <v>20</v>
      </c>
      <c r="D882" t="s">
        <v>14</v>
      </c>
      <c r="E882" t="s">
        <v>27</v>
      </c>
      <c r="F882">
        <v>1</v>
      </c>
      <c r="G882">
        <v>1</v>
      </c>
      <c r="H882">
        <f t="shared" si="52"/>
        <v>6483</v>
      </c>
      <c r="I882">
        <v>0</v>
      </c>
      <c r="J882">
        <f t="shared" si="53"/>
        <v>0</v>
      </c>
      <c r="K882">
        <v>0</v>
      </c>
      <c r="L882">
        <f t="shared" si="54"/>
        <v>0</v>
      </c>
      <c r="M882">
        <v>0</v>
      </c>
      <c r="N882">
        <f t="shared" si="55"/>
        <v>0</v>
      </c>
    </row>
    <row r="883" spans="1:14" x14ac:dyDescent="0.25">
      <c r="A883">
        <f>VLOOKUP(B883,Calculations!$A$2:$B$10,2)+VLOOKUP(C883,Calculations!$C$2:$D$7,2)+VLOOKUP(D883,Calculations!$E$2:$F$6,2)+VLOOKUP(E883,Calculations!$G$2:$H$6,2)</f>
        <v>6484</v>
      </c>
      <c r="B883" t="s">
        <v>8</v>
      </c>
      <c r="C883" t="s">
        <v>20</v>
      </c>
      <c r="D883" t="s">
        <v>15</v>
      </c>
      <c r="E883" t="s">
        <v>27</v>
      </c>
      <c r="F883">
        <v>1</v>
      </c>
      <c r="G883">
        <v>1</v>
      </c>
      <c r="H883">
        <f t="shared" si="52"/>
        <v>6484</v>
      </c>
      <c r="I883">
        <v>0</v>
      </c>
      <c r="J883">
        <f t="shared" si="53"/>
        <v>0</v>
      </c>
      <c r="K883">
        <v>0</v>
      </c>
      <c r="L883">
        <f t="shared" si="54"/>
        <v>0</v>
      </c>
      <c r="M883">
        <v>0</v>
      </c>
      <c r="N883">
        <f t="shared" si="55"/>
        <v>0</v>
      </c>
    </row>
    <row r="884" spans="1:14" x14ac:dyDescent="0.25">
      <c r="A884">
        <f>VLOOKUP(B884,Calculations!$A$2:$B$10,2)+VLOOKUP(C884,Calculations!$C$2:$D$7,2)+VLOOKUP(D884,Calculations!$E$2:$F$6,2)+VLOOKUP(E884,Calculations!$G$2:$H$6,2)</f>
        <v>6501</v>
      </c>
      <c r="B884" t="s">
        <v>5</v>
      </c>
      <c r="C884" t="s">
        <v>20</v>
      </c>
      <c r="D884" t="s">
        <v>54</v>
      </c>
      <c r="E884" t="s">
        <v>28</v>
      </c>
      <c r="F884">
        <v>1</v>
      </c>
      <c r="G884">
        <v>1</v>
      </c>
      <c r="H884">
        <f t="shared" si="52"/>
        <v>6501</v>
      </c>
      <c r="I884">
        <v>0</v>
      </c>
      <c r="J884">
        <f t="shared" si="53"/>
        <v>0</v>
      </c>
      <c r="K884">
        <v>0</v>
      </c>
      <c r="L884">
        <f t="shared" si="54"/>
        <v>0</v>
      </c>
      <c r="M884">
        <v>0</v>
      </c>
      <c r="N884">
        <f t="shared" si="55"/>
        <v>0</v>
      </c>
    </row>
    <row r="885" spans="1:14" x14ac:dyDescent="0.25">
      <c r="A885">
        <f>VLOOKUP(B885,Calculations!$A$2:$B$10,2)+VLOOKUP(C885,Calculations!$C$2:$D$7,2)+VLOOKUP(D885,Calculations!$E$2:$F$6,2)+VLOOKUP(E885,Calculations!$G$2:$H$6,2)</f>
        <v>6502</v>
      </c>
      <c r="B885" t="s">
        <v>5</v>
      </c>
      <c r="C885" t="s">
        <v>20</v>
      </c>
      <c r="D885" t="s">
        <v>13</v>
      </c>
      <c r="E885" t="s">
        <v>28</v>
      </c>
      <c r="F885">
        <v>1</v>
      </c>
      <c r="G885">
        <v>1</v>
      </c>
      <c r="H885">
        <f t="shared" si="52"/>
        <v>6502</v>
      </c>
      <c r="I885">
        <v>0</v>
      </c>
      <c r="J885">
        <f t="shared" si="53"/>
        <v>0</v>
      </c>
      <c r="K885">
        <v>0</v>
      </c>
      <c r="L885">
        <f t="shared" si="54"/>
        <v>0</v>
      </c>
      <c r="M885">
        <v>0</v>
      </c>
      <c r="N885">
        <f t="shared" si="55"/>
        <v>0</v>
      </c>
    </row>
    <row r="886" spans="1:14" x14ac:dyDescent="0.25">
      <c r="A886">
        <f>VLOOKUP(B886,Calculations!$A$2:$B$10,2)+VLOOKUP(C886,Calculations!$C$2:$D$7,2)+VLOOKUP(D886,Calculations!$E$2:$F$6,2)+VLOOKUP(E886,Calculations!$G$2:$H$6,2)</f>
        <v>6503</v>
      </c>
      <c r="B886" t="s">
        <v>5</v>
      </c>
      <c r="C886" t="s">
        <v>20</v>
      </c>
      <c r="D886" t="s">
        <v>14</v>
      </c>
      <c r="E886" t="s">
        <v>28</v>
      </c>
      <c r="F886">
        <v>1</v>
      </c>
      <c r="G886">
        <v>1</v>
      </c>
      <c r="H886">
        <f t="shared" si="52"/>
        <v>6503</v>
      </c>
      <c r="I886">
        <v>0</v>
      </c>
      <c r="J886">
        <f t="shared" si="53"/>
        <v>0</v>
      </c>
      <c r="K886">
        <v>0</v>
      </c>
      <c r="L886">
        <f t="shared" si="54"/>
        <v>0</v>
      </c>
      <c r="M886">
        <v>0</v>
      </c>
      <c r="N886">
        <f t="shared" si="55"/>
        <v>0</v>
      </c>
    </row>
    <row r="887" spans="1:14" x14ac:dyDescent="0.25">
      <c r="A887">
        <f>VLOOKUP(B887,Calculations!$A$2:$B$10,2)+VLOOKUP(C887,Calculations!$C$2:$D$7,2)+VLOOKUP(D887,Calculations!$E$2:$F$6,2)+VLOOKUP(E887,Calculations!$G$2:$H$6,2)</f>
        <v>6504</v>
      </c>
      <c r="B887" t="s">
        <v>5</v>
      </c>
      <c r="C887" t="s">
        <v>20</v>
      </c>
      <c r="D887" t="s">
        <v>15</v>
      </c>
      <c r="E887" t="s">
        <v>28</v>
      </c>
      <c r="F887">
        <v>0</v>
      </c>
      <c r="G887">
        <v>0</v>
      </c>
      <c r="H887">
        <f t="shared" si="52"/>
        <v>0</v>
      </c>
      <c r="I887">
        <v>0</v>
      </c>
      <c r="J887">
        <f t="shared" si="53"/>
        <v>0</v>
      </c>
      <c r="K887">
        <v>0</v>
      </c>
      <c r="L887">
        <f t="shared" si="54"/>
        <v>0</v>
      </c>
      <c r="M887">
        <v>0</v>
      </c>
      <c r="N887">
        <f t="shared" si="55"/>
        <v>0</v>
      </c>
    </row>
    <row r="888" spans="1:14" x14ac:dyDescent="0.25">
      <c r="A888">
        <f>VLOOKUP(B888,Calculations!$A$2:$B$10,2)+VLOOKUP(C888,Calculations!$C$2:$D$7,2)+VLOOKUP(D888,Calculations!$E$2:$F$6,2)+VLOOKUP(E888,Calculations!$G$2:$H$6,2)</f>
        <v>6511</v>
      </c>
      <c r="B888" t="s">
        <v>6</v>
      </c>
      <c r="C888" t="s">
        <v>20</v>
      </c>
      <c r="D888" t="s">
        <v>54</v>
      </c>
      <c r="E888" t="s">
        <v>28</v>
      </c>
      <c r="F888">
        <v>1</v>
      </c>
      <c r="G888">
        <v>1</v>
      </c>
      <c r="H888">
        <f t="shared" si="52"/>
        <v>6511</v>
      </c>
      <c r="I888">
        <v>0</v>
      </c>
      <c r="J888">
        <f t="shared" si="53"/>
        <v>0</v>
      </c>
      <c r="K888">
        <v>0</v>
      </c>
      <c r="L888">
        <f t="shared" si="54"/>
        <v>0</v>
      </c>
      <c r="M888">
        <v>0</v>
      </c>
      <c r="N888">
        <f t="shared" si="55"/>
        <v>0</v>
      </c>
    </row>
    <row r="889" spans="1:14" x14ac:dyDescent="0.25">
      <c r="A889">
        <f>VLOOKUP(B889,Calculations!$A$2:$B$10,2)+VLOOKUP(C889,Calculations!$C$2:$D$7,2)+VLOOKUP(D889,Calculations!$E$2:$F$6,2)+VLOOKUP(E889,Calculations!$G$2:$H$6,2)</f>
        <v>6512</v>
      </c>
      <c r="B889" t="s">
        <v>6</v>
      </c>
      <c r="C889" t="s">
        <v>20</v>
      </c>
      <c r="D889" t="s">
        <v>13</v>
      </c>
      <c r="E889" t="s">
        <v>28</v>
      </c>
      <c r="F889">
        <v>1</v>
      </c>
      <c r="G889">
        <v>1</v>
      </c>
      <c r="H889">
        <f t="shared" si="52"/>
        <v>6512</v>
      </c>
      <c r="I889">
        <v>0</v>
      </c>
      <c r="J889">
        <f t="shared" si="53"/>
        <v>0</v>
      </c>
      <c r="K889">
        <v>0</v>
      </c>
      <c r="L889">
        <f t="shared" si="54"/>
        <v>0</v>
      </c>
      <c r="M889">
        <v>0</v>
      </c>
      <c r="N889">
        <f t="shared" si="55"/>
        <v>0</v>
      </c>
    </row>
    <row r="890" spans="1:14" x14ac:dyDescent="0.25">
      <c r="A890">
        <f>VLOOKUP(B890,Calculations!$A$2:$B$10,2)+VLOOKUP(C890,Calculations!$C$2:$D$7,2)+VLOOKUP(D890,Calculations!$E$2:$F$6,2)+VLOOKUP(E890,Calculations!$G$2:$H$6,2)</f>
        <v>6513</v>
      </c>
      <c r="B890" t="s">
        <v>6</v>
      </c>
      <c r="C890" t="s">
        <v>20</v>
      </c>
      <c r="D890" t="s">
        <v>14</v>
      </c>
      <c r="E890" t="s">
        <v>28</v>
      </c>
      <c r="F890">
        <v>1</v>
      </c>
      <c r="G890">
        <v>1</v>
      </c>
      <c r="H890">
        <f t="shared" si="52"/>
        <v>6513</v>
      </c>
      <c r="I890">
        <v>0</v>
      </c>
      <c r="J890">
        <f t="shared" si="53"/>
        <v>0</v>
      </c>
      <c r="K890">
        <v>0</v>
      </c>
      <c r="L890">
        <f t="shared" si="54"/>
        <v>0</v>
      </c>
      <c r="M890">
        <v>0</v>
      </c>
      <c r="N890">
        <f t="shared" si="55"/>
        <v>0</v>
      </c>
    </row>
    <row r="891" spans="1:14" x14ac:dyDescent="0.25">
      <c r="A891">
        <f>VLOOKUP(B891,Calculations!$A$2:$B$10,2)+VLOOKUP(C891,Calculations!$C$2:$D$7,2)+VLOOKUP(D891,Calculations!$E$2:$F$6,2)+VLOOKUP(E891,Calculations!$G$2:$H$6,2)</f>
        <v>6514</v>
      </c>
      <c r="B891" t="s">
        <v>6</v>
      </c>
      <c r="C891" t="s">
        <v>20</v>
      </c>
      <c r="D891" t="s">
        <v>15</v>
      </c>
      <c r="E891" t="s">
        <v>28</v>
      </c>
      <c r="F891">
        <v>0</v>
      </c>
      <c r="G891">
        <v>0</v>
      </c>
      <c r="H891">
        <f t="shared" si="52"/>
        <v>0</v>
      </c>
      <c r="I891">
        <v>0</v>
      </c>
      <c r="J891">
        <f t="shared" si="53"/>
        <v>0</v>
      </c>
      <c r="K891">
        <v>0</v>
      </c>
      <c r="L891">
        <f t="shared" si="54"/>
        <v>0</v>
      </c>
      <c r="M891">
        <v>0</v>
      </c>
      <c r="N891">
        <f t="shared" si="55"/>
        <v>0</v>
      </c>
    </row>
    <row r="892" spans="1:14" x14ac:dyDescent="0.25">
      <c r="A892">
        <f>VLOOKUP(B892,Calculations!$A$2:$B$10,2)+VLOOKUP(C892,Calculations!$C$2:$D$7,2)+VLOOKUP(D892,Calculations!$E$2:$F$6,2)+VLOOKUP(E892,Calculations!$G$2:$H$6,2)</f>
        <v>6521</v>
      </c>
      <c r="B892" t="s">
        <v>7</v>
      </c>
      <c r="C892" t="s">
        <v>20</v>
      </c>
      <c r="D892" t="s">
        <v>54</v>
      </c>
      <c r="E892" t="s">
        <v>28</v>
      </c>
      <c r="F892">
        <v>1</v>
      </c>
      <c r="G892">
        <v>1</v>
      </c>
      <c r="H892">
        <f t="shared" si="52"/>
        <v>6521</v>
      </c>
      <c r="I892">
        <v>0</v>
      </c>
      <c r="J892">
        <f t="shared" si="53"/>
        <v>0</v>
      </c>
      <c r="K892">
        <v>0</v>
      </c>
      <c r="L892">
        <f t="shared" si="54"/>
        <v>0</v>
      </c>
      <c r="M892">
        <v>0</v>
      </c>
      <c r="N892">
        <f t="shared" si="55"/>
        <v>0</v>
      </c>
    </row>
    <row r="893" spans="1:14" x14ac:dyDescent="0.25">
      <c r="A893">
        <f>VLOOKUP(B893,Calculations!$A$2:$B$10,2)+VLOOKUP(C893,Calculations!$C$2:$D$7,2)+VLOOKUP(D893,Calculations!$E$2:$F$6,2)+VLOOKUP(E893,Calculations!$G$2:$H$6,2)</f>
        <v>6522</v>
      </c>
      <c r="B893" t="s">
        <v>7</v>
      </c>
      <c r="C893" t="s">
        <v>20</v>
      </c>
      <c r="D893" t="s">
        <v>13</v>
      </c>
      <c r="E893" t="s">
        <v>28</v>
      </c>
      <c r="F893">
        <v>1</v>
      </c>
      <c r="G893">
        <v>1</v>
      </c>
      <c r="H893">
        <f t="shared" si="52"/>
        <v>6522</v>
      </c>
      <c r="I893">
        <v>0</v>
      </c>
      <c r="J893">
        <f t="shared" si="53"/>
        <v>0</v>
      </c>
      <c r="K893">
        <v>0</v>
      </c>
      <c r="L893">
        <f t="shared" si="54"/>
        <v>0</v>
      </c>
      <c r="M893">
        <v>0</v>
      </c>
      <c r="N893">
        <f t="shared" si="55"/>
        <v>0</v>
      </c>
    </row>
    <row r="894" spans="1:14" x14ac:dyDescent="0.25">
      <c r="A894">
        <f>VLOOKUP(B894,Calculations!$A$2:$B$10,2)+VLOOKUP(C894,Calculations!$C$2:$D$7,2)+VLOOKUP(D894,Calculations!$E$2:$F$6,2)+VLOOKUP(E894,Calculations!$G$2:$H$6,2)</f>
        <v>6523</v>
      </c>
      <c r="B894" t="s">
        <v>7</v>
      </c>
      <c r="C894" t="s">
        <v>20</v>
      </c>
      <c r="D894" t="s">
        <v>14</v>
      </c>
      <c r="E894" t="s">
        <v>28</v>
      </c>
      <c r="F894">
        <v>1</v>
      </c>
      <c r="G894">
        <v>1</v>
      </c>
      <c r="H894">
        <f t="shared" si="52"/>
        <v>6523</v>
      </c>
      <c r="I894">
        <v>0</v>
      </c>
      <c r="J894">
        <f t="shared" si="53"/>
        <v>0</v>
      </c>
      <c r="K894">
        <v>0</v>
      </c>
      <c r="L894">
        <f t="shared" si="54"/>
        <v>0</v>
      </c>
      <c r="M894">
        <v>0</v>
      </c>
      <c r="N894">
        <f t="shared" si="55"/>
        <v>0</v>
      </c>
    </row>
    <row r="895" spans="1:14" x14ac:dyDescent="0.25">
      <c r="A895">
        <f>VLOOKUP(B895,Calculations!$A$2:$B$10,2)+VLOOKUP(C895,Calculations!$C$2:$D$7,2)+VLOOKUP(D895,Calculations!$E$2:$F$6,2)+VLOOKUP(E895,Calculations!$G$2:$H$6,2)</f>
        <v>6524</v>
      </c>
      <c r="B895" t="s">
        <v>7</v>
      </c>
      <c r="C895" t="s">
        <v>20</v>
      </c>
      <c r="D895" t="s">
        <v>15</v>
      </c>
      <c r="E895" t="s">
        <v>28</v>
      </c>
      <c r="F895">
        <v>1</v>
      </c>
      <c r="G895">
        <v>1</v>
      </c>
      <c r="H895">
        <f t="shared" si="52"/>
        <v>6524</v>
      </c>
      <c r="I895">
        <v>0</v>
      </c>
      <c r="J895">
        <f t="shared" si="53"/>
        <v>0</v>
      </c>
      <c r="K895">
        <v>0</v>
      </c>
      <c r="L895">
        <f t="shared" si="54"/>
        <v>0</v>
      </c>
      <c r="M895">
        <v>0</v>
      </c>
      <c r="N895">
        <f t="shared" si="55"/>
        <v>0</v>
      </c>
    </row>
    <row r="896" spans="1:14" x14ac:dyDescent="0.25">
      <c r="A896">
        <f>VLOOKUP(B896,Calculations!$A$2:$B$10,2)+VLOOKUP(C896,Calculations!$C$2:$D$7,2)+VLOOKUP(D896,Calculations!$E$2:$F$6,2)+VLOOKUP(E896,Calculations!$G$2:$H$6,2)</f>
        <v>6531</v>
      </c>
      <c r="B896" t="s">
        <v>53</v>
      </c>
      <c r="C896" t="s">
        <v>20</v>
      </c>
      <c r="D896" t="s">
        <v>54</v>
      </c>
      <c r="E896" t="s">
        <v>28</v>
      </c>
      <c r="F896">
        <v>1</v>
      </c>
      <c r="G896">
        <v>1</v>
      </c>
      <c r="H896">
        <f t="shared" si="52"/>
        <v>6531</v>
      </c>
      <c r="I896">
        <v>0</v>
      </c>
      <c r="J896">
        <f t="shared" si="53"/>
        <v>0</v>
      </c>
      <c r="K896">
        <v>0</v>
      </c>
      <c r="L896">
        <f t="shared" si="54"/>
        <v>0</v>
      </c>
      <c r="M896">
        <v>0</v>
      </c>
      <c r="N896">
        <f t="shared" si="55"/>
        <v>0</v>
      </c>
    </row>
    <row r="897" spans="1:14" x14ac:dyDescent="0.25">
      <c r="A897">
        <f>VLOOKUP(B897,Calculations!$A$2:$B$10,2)+VLOOKUP(C897,Calculations!$C$2:$D$7,2)+VLOOKUP(D897,Calculations!$E$2:$F$6,2)+VLOOKUP(E897,Calculations!$G$2:$H$6,2)</f>
        <v>6532</v>
      </c>
      <c r="B897" t="s">
        <v>53</v>
      </c>
      <c r="C897" t="s">
        <v>20</v>
      </c>
      <c r="D897" t="s">
        <v>13</v>
      </c>
      <c r="E897" t="s">
        <v>28</v>
      </c>
      <c r="F897">
        <v>1</v>
      </c>
      <c r="G897">
        <v>1</v>
      </c>
      <c r="H897">
        <f t="shared" si="52"/>
        <v>6532</v>
      </c>
      <c r="I897">
        <v>0</v>
      </c>
      <c r="J897">
        <f t="shared" si="53"/>
        <v>0</v>
      </c>
      <c r="K897">
        <v>0</v>
      </c>
      <c r="L897">
        <f t="shared" si="54"/>
        <v>0</v>
      </c>
      <c r="M897">
        <v>0</v>
      </c>
      <c r="N897">
        <f t="shared" si="55"/>
        <v>0</v>
      </c>
    </row>
    <row r="898" spans="1:14" x14ac:dyDescent="0.25">
      <c r="A898">
        <f>VLOOKUP(B898,Calculations!$A$2:$B$10,2)+VLOOKUP(C898,Calculations!$C$2:$D$7,2)+VLOOKUP(D898,Calculations!$E$2:$F$6,2)+VLOOKUP(E898,Calculations!$G$2:$H$6,2)</f>
        <v>6533</v>
      </c>
      <c r="B898" t="s">
        <v>53</v>
      </c>
      <c r="C898" t="s">
        <v>20</v>
      </c>
      <c r="D898" t="s">
        <v>14</v>
      </c>
      <c r="E898" t="s">
        <v>28</v>
      </c>
      <c r="F898">
        <v>1</v>
      </c>
      <c r="G898">
        <v>1</v>
      </c>
      <c r="H898">
        <f t="shared" ref="H898:H919" si="56">A898*G898</f>
        <v>6533</v>
      </c>
      <c r="I898">
        <v>0</v>
      </c>
      <c r="J898">
        <f t="shared" ref="J898:J919" si="57">A898*I898</f>
        <v>0</v>
      </c>
      <c r="K898">
        <v>0</v>
      </c>
      <c r="L898">
        <f t="shared" ref="L898:L919" si="58">K898*A898</f>
        <v>0</v>
      </c>
      <c r="M898">
        <v>0</v>
      </c>
      <c r="N898">
        <f t="shared" ref="N898:N919" si="59">A898*M898</f>
        <v>0</v>
      </c>
    </row>
    <row r="899" spans="1:14" x14ac:dyDescent="0.25">
      <c r="A899">
        <f>VLOOKUP(B899,Calculations!$A$2:$B$10,2)+VLOOKUP(C899,Calculations!$C$2:$D$7,2)+VLOOKUP(D899,Calculations!$E$2:$F$6,2)+VLOOKUP(E899,Calculations!$G$2:$H$6,2)</f>
        <v>6534</v>
      </c>
      <c r="B899" t="s">
        <v>53</v>
      </c>
      <c r="C899" t="s">
        <v>20</v>
      </c>
      <c r="D899" t="s">
        <v>15</v>
      </c>
      <c r="E899" t="s">
        <v>28</v>
      </c>
      <c r="F899">
        <v>1</v>
      </c>
      <c r="G899">
        <v>1</v>
      </c>
      <c r="H899">
        <f t="shared" si="56"/>
        <v>6534</v>
      </c>
      <c r="I899">
        <v>0</v>
      </c>
      <c r="J899">
        <f t="shared" si="57"/>
        <v>0</v>
      </c>
      <c r="K899">
        <v>0</v>
      </c>
      <c r="L899">
        <f t="shared" si="58"/>
        <v>0</v>
      </c>
      <c r="M899">
        <v>0</v>
      </c>
      <c r="N899">
        <f t="shared" si="59"/>
        <v>0</v>
      </c>
    </row>
    <row r="900" spans="1:14" x14ac:dyDescent="0.25">
      <c r="A900">
        <f>VLOOKUP(B900,Calculations!$A$2:$B$10,2)+VLOOKUP(C900,Calculations!$C$2:$D$7,2)+VLOOKUP(D900,Calculations!$E$2:$F$6,2)+VLOOKUP(E900,Calculations!$G$2:$H$6,2)</f>
        <v>6541</v>
      </c>
      <c r="B900" t="s">
        <v>9</v>
      </c>
      <c r="C900" t="s">
        <v>20</v>
      </c>
      <c r="D900" t="s">
        <v>54</v>
      </c>
      <c r="E900" t="s">
        <v>28</v>
      </c>
      <c r="F900">
        <v>1</v>
      </c>
      <c r="G900">
        <v>1</v>
      </c>
      <c r="H900">
        <f t="shared" si="56"/>
        <v>6541</v>
      </c>
      <c r="I900">
        <v>0</v>
      </c>
      <c r="J900">
        <f t="shared" si="57"/>
        <v>0</v>
      </c>
      <c r="K900">
        <v>0</v>
      </c>
      <c r="L900">
        <f t="shared" si="58"/>
        <v>0</v>
      </c>
      <c r="M900">
        <v>0</v>
      </c>
      <c r="N900">
        <f t="shared" si="59"/>
        <v>0</v>
      </c>
    </row>
    <row r="901" spans="1:14" x14ac:dyDescent="0.25">
      <c r="A901">
        <f>VLOOKUP(B901,Calculations!$A$2:$B$10,2)+VLOOKUP(C901,Calculations!$C$2:$D$7,2)+VLOOKUP(D901,Calculations!$E$2:$F$6,2)+VLOOKUP(E901,Calculations!$G$2:$H$6,2)</f>
        <v>6542</v>
      </c>
      <c r="B901" t="s">
        <v>9</v>
      </c>
      <c r="C901" t="s">
        <v>20</v>
      </c>
      <c r="D901" t="s">
        <v>13</v>
      </c>
      <c r="E901" t="s">
        <v>28</v>
      </c>
      <c r="F901">
        <v>0</v>
      </c>
      <c r="G901">
        <v>0</v>
      </c>
      <c r="H901">
        <f t="shared" si="56"/>
        <v>0</v>
      </c>
      <c r="I901">
        <v>0</v>
      </c>
      <c r="J901">
        <f t="shared" si="57"/>
        <v>0</v>
      </c>
      <c r="K901">
        <v>0</v>
      </c>
      <c r="L901">
        <f t="shared" si="58"/>
        <v>0</v>
      </c>
      <c r="M901">
        <v>0</v>
      </c>
      <c r="N901">
        <f t="shared" si="59"/>
        <v>0</v>
      </c>
    </row>
    <row r="902" spans="1:14" x14ac:dyDescent="0.25">
      <c r="A902">
        <f>VLOOKUP(B902,Calculations!$A$2:$B$10,2)+VLOOKUP(C902,Calculations!$C$2:$D$7,2)+VLOOKUP(D902,Calculations!$E$2:$F$6,2)+VLOOKUP(E902,Calculations!$G$2:$H$6,2)</f>
        <v>6543</v>
      </c>
      <c r="B902" t="s">
        <v>9</v>
      </c>
      <c r="C902" t="s">
        <v>20</v>
      </c>
      <c r="D902" t="s">
        <v>14</v>
      </c>
      <c r="E902" t="s">
        <v>28</v>
      </c>
      <c r="F902">
        <v>0</v>
      </c>
      <c r="G902">
        <v>0</v>
      </c>
      <c r="H902">
        <f t="shared" si="56"/>
        <v>0</v>
      </c>
      <c r="I902">
        <v>0</v>
      </c>
      <c r="J902">
        <f t="shared" si="57"/>
        <v>0</v>
      </c>
      <c r="K902">
        <v>0</v>
      </c>
      <c r="L902">
        <f t="shared" si="58"/>
        <v>0</v>
      </c>
      <c r="M902">
        <v>0</v>
      </c>
      <c r="N902">
        <f t="shared" si="59"/>
        <v>0</v>
      </c>
    </row>
    <row r="903" spans="1:14" x14ac:dyDescent="0.25">
      <c r="A903">
        <f>VLOOKUP(B903,Calculations!$A$2:$B$10,2)+VLOOKUP(C903,Calculations!$C$2:$D$7,2)+VLOOKUP(D903,Calculations!$E$2:$F$6,2)+VLOOKUP(E903,Calculations!$G$2:$H$6,2)</f>
        <v>6544</v>
      </c>
      <c r="B903" t="s">
        <v>9</v>
      </c>
      <c r="C903" t="s">
        <v>20</v>
      </c>
      <c r="D903" t="s">
        <v>15</v>
      </c>
      <c r="E903" t="s">
        <v>28</v>
      </c>
      <c r="F903">
        <v>0</v>
      </c>
      <c r="G903">
        <v>0</v>
      </c>
      <c r="H903">
        <f t="shared" si="56"/>
        <v>0</v>
      </c>
      <c r="I903">
        <v>0</v>
      </c>
      <c r="J903">
        <f t="shared" si="57"/>
        <v>0</v>
      </c>
      <c r="K903">
        <v>0</v>
      </c>
      <c r="L903">
        <f t="shared" si="58"/>
        <v>0</v>
      </c>
      <c r="M903">
        <v>0</v>
      </c>
      <c r="N903">
        <f t="shared" si="59"/>
        <v>0</v>
      </c>
    </row>
    <row r="904" spans="1:14" x14ac:dyDescent="0.25">
      <c r="A904">
        <f>VLOOKUP(B904,Calculations!$A$2:$B$10,2)+VLOOKUP(C904,Calculations!$C$2:$D$7,2)+VLOOKUP(D904,Calculations!$E$2:$F$6,2)+VLOOKUP(E904,Calculations!$G$2:$H$6,2)</f>
        <v>6551</v>
      </c>
      <c r="B904" t="s">
        <v>50</v>
      </c>
      <c r="C904" t="s">
        <v>20</v>
      </c>
      <c r="D904" t="s">
        <v>54</v>
      </c>
      <c r="E904" t="s">
        <v>28</v>
      </c>
      <c r="F904">
        <v>1</v>
      </c>
      <c r="G904">
        <v>1</v>
      </c>
      <c r="H904">
        <f t="shared" si="56"/>
        <v>6551</v>
      </c>
      <c r="I904">
        <v>0</v>
      </c>
      <c r="J904">
        <f t="shared" si="57"/>
        <v>0</v>
      </c>
      <c r="K904">
        <v>0</v>
      </c>
      <c r="L904">
        <f t="shared" si="58"/>
        <v>0</v>
      </c>
      <c r="M904">
        <v>0</v>
      </c>
      <c r="N904">
        <f t="shared" si="59"/>
        <v>0</v>
      </c>
    </row>
    <row r="905" spans="1:14" x14ac:dyDescent="0.25">
      <c r="A905">
        <f>VLOOKUP(B905,Calculations!$A$2:$B$10,2)+VLOOKUP(C905,Calculations!$C$2:$D$7,2)+VLOOKUP(D905,Calculations!$E$2:$F$6,2)+VLOOKUP(E905,Calculations!$G$2:$H$6,2)</f>
        <v>6552</v>
      </c>
      <c r="B905" t="s">
        <v>50</v>
      </c>
      <c r="C905" t="s">
        <v>20</v>
      </c>
      <c r="D905" t="s">
        <v>13</v>
      </c>
      <c r="E905" t="s">
        <v>28</v>
      </c>
      <c r="F905">
        <v>1</v>
      </c>
      <c r="G905">
        <v>1</v>
      </c>
      <c r="H905">
        <f t="shared" si="56"/>
        <v>6552</v>
      </c>
      <c r="I905">
        <v>0</v>
      </c>
      <c r="J905">
        <f t="shared" si="57"/>
        <v>0</v>
      </c>
      <c r="K905">
        <v>0</v>
      </c>
      <c r="L905">
        <f t="shared" si="58"/>
        <v>0</v>
      </c>
      <c r="M905">
        <v>0</v>
      </c>
      <c r="N905">
        <f t="shared" si="59"/>
        <v>0</v>
      </c>
    </row>
    <row r="906" spans="1:14" x14ac:dyDescent="0.25">
      <c r="A906">
        <f>VLOOKUP(B906,Calculations!$A$2:$B$10,2)+VLOOKUP(C906,Calculations!$C$2:$D$7,2)+VLOOKUP(D906,Calculations!$E$2:$F$6,2)+VLOOKUP(E906,Calculations!$G$2:$H$6,2)</f>
        <v>6553</v>
      </c>
      <c r="B906" t="s">
        <v>50</v>
      </c>
      <c r="C906" t="s">
        <v>20</v>
      </c>
      <c r="D906" t="s">
        <v>14</v>
      </c>
      <c r="E906" t="s">
        <v>28</v>
      </c>
      <c r="F906">
        <v>1</v>
      </c>
      <c r="G906">
        <v>1</v>
      </c>
      <c r="H906">
        <f t="shared" si="56"/>
        <v>6553</v>
      </c>
      <c r="I906">
        <v>0</v>
      </c>
      <c r="J906">
        <f t="shared" si="57"/>
        <v>0</v>
      </c>
      <c r="K906">
        <v>0</v>
      </c>
      <c r="L906">
        <f t="shared" si="58"/>
        <v>0</v>
      </c>
      <c r="M906">
        <v>0</v>
      </c>
      <c r="N906">
        <f t="shared" si="59"/>
        <v>0</v>
      </c>
    </row>
    <row r="907" spans="1:14" x14ac:dyDescent="0.25">
      <c r="A907">
        <f>VLOOKUP(B907,Calculations!$A$2:$B$10,2)+VLOOKUP(C907,Calculations!$C$2:$D$7,2)+VLOOKUP(D907,Calculations!$E$2:$F$6,2)+VLOOKUP(E907,Calculations!$G$2:$H$6,2)</f>
        <v>6554</v>
      </c>
      <c r="B907" t="s">
        <v>50</v>
      </c>
      <c r="C907" t="s">
        <v>20</v>
      </c>
      <c r="D907" t="s">
        <v>15</v>
      </c>
      <c r="E907" t="s">
        <v>28</v>
      </c>
      <c r="F907">
        <v>1</v>
      </c>
      <c r="G907">
        <v>1</v>
      </c>
      <c r="H907">
        <f t="shared" si="56"/>
        <v>6554</v>
      </c>
      <c r="I907">
        <v>0</v>
      </c>
      <c r="J907">
        <f t="shared" si="57"/>
        <v>0</v>
      </c>
      <c r="K907">
        <v>0</v>
      </c>
      <c r="L907">
        <f t="shared" si="58"/>
        <v>0</v>
      </c>
      <c r="M907">
        <v>0</v>
      </c>
      <c r="N907">
        <f t="shared" si="59"/>
        <v>0</v>
      </c>
    </row>
    <row r="908" spans="1:14" x14ac:dyDescent="0.25">
      <c r="A908">
        <f>VLOOKUP(B908,Calculations!$A$2:$B$10,2)+VLOOKUP(C908,Calculations!$C$2:$D$7,2)+VLOOKUP(D908,Calculations!$E$2:$F$6,2)+VLOOKUP(E908,Calculations!$G$2:$H$6,2)</f>
        <v>6561</v>
      </c>
      <c r="B908" t="s">
        <v>51</v>
      </c>
      <c r="C908" t="s">
        <v>20</v>
      </c>
      <c r="D908" t="s">
        <v>54</v>
      </c>
      <c r="E908" t="s">
        <v>28</v>
      </c>
      <c r="F908">
        <v>1</v>
      </c>
      <c r="G908">
        <v>0</v>
      </c>
      <c r="H908">
        <f t="shared" si="56"/>
        <v>0</v>
      </c>
      <c r="I908">
        <v>0</v>
      </c>
      <c r="J908">
        <f t="shared" si="57"/>
        <v>0</v>
      </c>
      <c r="K908">
        <v>0</v>
      </c>
      <c r="L908">
        <f t="shared" si="58"/>
        <v>0</v>
      </c>
      <c r="M908">
        <v>0</v>
      </c>
      <c r="N908">
        <f t="shared" si="59"/>
        <v>0</v>
      </c>
    </row>
    <row r="909" spans="1:14" x14ac:dyDescent="0.25">
      <c r="A909">
        <f>VLOOKUP(B909,Calculations!$A$2:$B$10,2)+VLOOKUP(C909,Calculations!$C$2:$D$7,2)+VLOOKUP(D909,Calculations!$E$2:$F$6,2)+VLOOKUP(E909,Calculations!$G$2:$H$6,2)</f>
        <v>6562</v>
      </c>
      <c r="B909" t="s">
        <v>51</v>
      </c>
      <c r="C909" t="s">
        <v>20</v>
      </c>
      <c r="D909" t="s">
        <v>13</v>
      </c>
      <c r="E909" t="s">
        <v>28</v>
      </c>
      <c r="F909">
        <v>1</v>
      </c>
      <c r="G909">
        <v>0</v>
      </c>
      <c r="H909">
        <f t="shared" si="56"/>
        <v>0</v>
      </c>
      <c r="I909">
        <v>0</v>
      </c>
      <c r="J909">
        <f t="shared" si="57"/>
        <v>0</v>
      </c>
      <c r="K909">
        <v>0</v>
      </c>
      <c r="L909">
        <f t="shared" si="58"/>
        <v>0</v>
      </c>
      <c r="M909">
        <v>0</v>
      </c>
      <c r="N909">
        <f t="shared" si="59"/>
        <v>0</v>
      </c>
    </row>
    <row r="910" spans="1:14" x14ac:dyDescent="0.25">
      <c r="A910">
        <f>VLOOKUP(B910,Calculations!$A$2:$B$10,2)+VLOOKUP(C910,Calculations!$C$2:$D$7,2)+VLOOKUP(D910,Calculations!$E$2:$F$6,2)+VLOOKUP(E910,Calculations!$G$2:$H$6,2)</f>
        <v>6563</v>
      </c>
      <c r="B910" t="s">
        <v>51</v>
      </c>
      <c r="C910" t="s">
        <v>20</v>
      </c>
      <c r="D910" t="s">
        <v>14</v>
      </c>
      <c r="E910" t="s">
        <v>28</v>
      </c>
      <c r="F910">
        <v>1</v>
      </c>
      <c r="G910">
        <v>0</v>
      </c>
      <c r="H910">
        <f t="shared" si="56"/>
        <v>0</v>
      </c>
      <c r="I910">
        <v>0</v>
      </c>
      <c r="J910">
        <f t="shared" si="57"/>
        <v>0</v>
      </c>
      <c r="K910">
        <v>0</v>
      </c>
      <c r="L910">
        <f t="shared" si="58"/>
        <v>0</v>
      </c>
      <c r="M910">
        <v>0</v>
      </c>
      <c r="N910">
        <f t="shared" si="59"/>
        <v>0</v>
      </c>
    </row>
    <row r="911" spans="1:14" x14ac:dyDescent="0.25">
      <c r="A911">
        <f>VLOOKUP(B911,Calculations!$A$2:$B$10,2)+VLOOKUP(C911,Calculations!$C$2:$D$7,2)+VLOOKUP(D911,Calculations!$E$2:$F$6,2)+VLOOKUP(E911,Calculations!$G$2:$H$6,2)</f>
        <v>6564</v>
      </c>
      <c r="B911" t="s">
        <v>51</v>
      </c>
      <c r="C911" t="s">
        <v>20</v>
      </c>
      <c r="D911" t="s">
        <v>15</v>
      </c>
      <c r="E911" t="s">
        <v>28</v>
      </c>
      <c r="F911">
        <v>1</v>
      </c>
      <c r="G911">
        <v>0</v>
      </c>
      <c r="H911">
        <f t="shared" si="56"/>
        <v>0</v>
      </c>
      <c r="I911">
        <v>0</v>
      </c>
      <c r="J911">
        <f t="shared" si="57"/>
        <v>0</v>
      </c>
      <c r="K911">
        <v>0</v>
      </c>
      <c r="L911">
        <f t="shared" si="58"/>
        <v>0</v>
      </c>
      <c r="M911">
        <v>0</v>
      </c>
      <c r="N911">
        <f t="shared" si="59"/>
        <v>0</v>
      </c>
    </row>
    <row r="912" spans="1:14" x14ac:dyDescent="0.25">
      <c r="A912">
        <f>VLOOKUP(B912,Calculations!$A$2:$B$10,2)+VLOOKUP(C912,Calculations!$C$2:$D$7,2)+VLOOKUP(D912,Calculations!$E$2:$F$6,2)+VLOOKUP(E912,Calculations!$G$2:$H$6,2)</f>
        <v>6571</v>
      </c>
      <c r="B912" t="s">
        <v>52</v>
      </c>
      <c r="C912" t="s">
        <v>20</v>
      </c>
      <c r="D912" t="s">
        <v>54</v>
      </c>
      <c r="E912" t="s">
        <v>28</v>
      </c>
      <c r="F912">
        <v>1</v>
      </c>
      <c r="G912">
        <v>1</v>
      </c>
      <c r="H912">
        <f t="shared" si="56"/>
        <v>6571</v>
      </c>
      <c r="I912">
        <v>0</v>
      </c>
      <c r="J912">
        <f t="shared" si="57"/>
        <v>0</v>
      </c>
      <c r="K912">
        <v>0</v>
      </c>
      <c r="L912">
        <f t="shared" si="58"/>
        <v>0</v>
      </c>
      <c r="M912">
        <v>0</v>
      </c>
      <c r="N912">
        <f t="shared" si="59"/>
        <v>0</v>
      </c>
    </row>
    <row r="913" spans="1:14" x14ac:dyDescent="0.25">
      <c r="A913">
        <f>VLOOKUP(B913,Calculations!$A$2:$B$10,2)+VLOOKUP(C913,Calculations!$C$2:$D$7,2)+VLOOKUP(D913,Calculations!$E$2:$F$6,2)+VLOOKUP(E913,Calculations!$G$2:$H$6,2)</f>
        <v>6572</v>
      </c>
      <c r="B913" t="s">
        <v>52</v>
      </c>
      <c r="C913" t="s">
        <v>20</v>
      </c>
      <c r="D913" t="s">
        <v>13</v>
      </c>
      <c r="E913" t="s">
        <v>28</v>
      </c>
      <c r="F913">
        <v>1</v>
      </c>
      <c r="G913">
        <v>1</v>
      </c>
      <c r="H913">
        <f t="shared" si="56"/>
        <v>6572</v>
      </c>
      <c r="I913">
        <v>0</v>
      </c>
      <c r="J913">
        <f t="shared" si="57"/>
        <v>0</v>
      </c>
      <c r="K913">
        <v>0</v>
      </c>
      <c r="L913">
        <f t="shared" si="58"/>
        <v>0</v>
      </c>
      <c r="M913">
        <v>0</v>
      </c>
      <c r="N913">
        <f t="shared" si="59"/>
        <v>0</v>
      </c>
    </row>
    <row r="914" spans="1:14" x14ac:dyDescent="0.25">
      <c r="A914">
        <f>VLOOKUP(B914,Calculations!$A$2:$B$10,2)+VLOOKUP(C914,Calculations!$C$2:$D$7,2)+VLOOKUP(D914,Calculations!$E$2:$F$6,2)+VLOOKUP(E914,Calculations!$G$2:$H$6,2)</f>
        <v>6573</v>
      </c>
      <c r="B914" t="s">
        <v>52</v>
      </c>
      <c r="C914" t="s">
        <v>20</v>
      </c>
      <c r="D914" t="s">
        <v>14</v>
      </c>
      <c r="E914" t="s">
        <v>28</v>
      </c>
      <c r="F914">
        <v>1</v>
      </c>
      <c r="G914">
        <v>1</v>
      </c>
      <c r="H914">
        <f t="shared" si="56"/>
        <v>6573</v>
      </c>
      <c r="I914">
        <v>0</v>
      </c>
      <c r="J914">
        <f t="shared" si="57"/>
        <v>0</v>
      </c>
      <c r="K914">
        <v>0</v>
      </c>
      <c r="L914">
        <f t="shared" si="58"/>
        <v>0</v>
      </c>
      <c r="M914">
        <v>0</v>
      </c>
      <c r="N914">
        <f t="shared" si="59"/>
        <v>0</v>
      </c>
    </row>
    <row r="915" spans="1:14" x14ac:dyDescent="0.25">
      <c r="A915">
        <f>VLOOKUP(B915,Calculations!$A$2:$B$10,2)+VLOOKUP(C915,Calculations!$C$2:$D$7,2)+VLOOKUP(D915,Calculations!$E$2:$F$6,2)+VLOOKUP(E915,Calculations!$G$2:$H$6,2)</f>
        <v>6574</v>
      </c>
      <c r="B915" t="s">
        <v>52</v>
      </c>
      <c r="C915" t="s">
        <v>20</v>
      </c>
      <c r="D915" t="s">
        <v>15</v>
      </c>
      <c r="E915" t="s">
        <v>28</v>
      </c>
      <c r="F915">
        <v>1</v>
      </c>
      <c r="G915">
        <v>1</v>
      </c>
      <c r="H915">
        <f t="shared" si="56"/>
        <v>6574</v>
      </c>
      <c r="I915">
        <v>0</v>
      </c>
      <c r="J915">
        <f t="shared" si="57"/>
        <v>0</v>
      </c>
      <c r="K915">
        <v>0</v>
      </c>
      <c r="L915">
        <f t="shared" si="58"/>
        <v>0</v>
      </c>
      <c r="M915">
        <v>0</v>
      </c>
      <c r="N915">
        <f t="shared" si="59"/>
        <v>0</v>
      </c>
    </row>
    <row r="916" spans="1:14" x14ac:dyDescent="0.25">
      <c r="A916">
        <f>VLOOKUP(B916,Calculations!$A$2:$B$10,2)+VLOOKUP(C916,Calculations!$C$2:$D$7,2)+VLOOKUP(D916,Calculations!$E$2:$F$6,2)+VLOOKUP(E916,Calculations!$G$2:$H$6,2)</f>
        <v>6581</v>
      </c>
      <c r="B916" t="s">
        <v>8</v>
      </c>
      <c r="C916" t="s">
        <v>20</v>
      </c>
      <c r="D916" t="s">
        <v>54</v>
      </c>
      <c r="E916" t="s">
        <v>28</v>
      </c>
      <c r="F916">
        <v>1</v>
      </c>
      <c r="G916">
        <v>1</v>
      </c>
      <c r="H916">
        <f t="shared" si="56"/>
        <v>6581</v>
      </c>
      <c r="I916">
        <v>0</v>
      </c>
      <c r="J916">
        <f t="shared" si="57"/>
        <v>0</v>
      </c>
      <c r="K916">
        <v>0</v>
      </c>
      <c r="L916">
        <f t="shared" si="58"/>
        <v>0</v>
      </c>
      <c r="M916">
        <v>0</v>
      </c>
      <c r="N916">
        <f t="shared" si="59"/>
        <v>0</v>
      </c>
    </row>
    <row r="917" spans="1:14" x14ac:dyDescent="0.25">
      <c r="A917">
        <f>VLOOKUP(B917,Calculations!$A$2:$B$10,2)+VLOOKUP(C917,Calculations!$C$2:$D$7,2)+VLOOKUP(D917,Calculations!$E$2:$F$6,2)+VLOOKUP(E917,Calculations!$G$2:$H$6,2)</f>
        <v>6582</v>
      </c>
      <c r="B917" t="s">
        <v>8</v>
      </c>
      <c r="C917" t="s">
        <v>20</v>
      </c>
      <c r="D917" t="s">
        <v>13</v>
      </c>
      <c r="E917" t="s">
        <v>28</v>
      </c>
      <c r="F917">
        <v>1</v>
      </c>
      <c r="G917">
        <v>1</v>
      </c>
      <c r="H917">
        <f t="shared" si="56"/>
        <v>6582</v>
      </c>
      <c r="I917">
        <v>0</v>
      </c>
      <c r="J917">
        <f t="shared" si="57"/>
        <v>0</v>
      </c>
      <c r="K917">
        <v>0</v>
      </c>
      <c r="L917">
        <f t="shared" si="58"/>
        <v>0</v>
      </c>
      <c r="M917">
        <v>0</v>
      </c>
      <c r="N917">
        <f t="shared" si="59"/>
        <v>0</v>
      </c>
    </row>
    <row r="918" spans="1:14" x14ac:dyDescent="0.25">
      <c r="A918">
        <f>VLOOKUP(B918,Calculations!$A$2:$B$10,2)+VLOOKUP(C918,Calculations!$C$2:$D$7,2)+VLOOKUP(D918,Calculations!$E$2:$F$6,2)+VLOOKUP(E918,Calculations!$G$2:$H$6,2)</f>
        <v>6583</v>
      </c>
      <c r="B918" t="s">
        <v>8</v>
      </c>
      <c r="C918" t="s">
        <v>20</v>
      </c>
      <c r="D918" t="s">
        <v>14</v>
      </c>
      <c r="E918" t="s">
        <v>28</v>
      </c>
      <c r="F918">
        <v>1</v>
      </c>
      <c r="G918">
        <v>1</v>
      </c>
      <c r="H918">
        <f t="shared" si="56"/>
        <v>6583</v>
      </c>
      <c r="I918">
        <v>0</v>
      </c>
      <c r="J918">
        <f t="shared" si="57"/>
        <v>0</v>
      </c>
      <c r="K918">
        <v>0</v>
      </c>
      <c r="L918">
        <f t="shared" si="58"/>
        <v>0</v>
      </c>
      <c r="M918">
        <v>0</v>
      </c>
      <c r="N918">
        <f t="shared" si="59"/>
        <v>0</v>
      </c>
    </row>
    <row r="919" spans="1:14" x14ac:dyDescent="0.25">
      <c r="A919">
        <f>VLOOKUP(B919,Calculations!$A$2:$B$10,2)+VLOOKUP(C919,Calculations!$C$2:$D$7,2)+VLOOKUP(D919,Calculations!$E$2:$F$6,2)+VLOOKUP(E919,Calculations!$G$2:$H$6,2)</f>
        <v>6584</v>
      </c>
      <c r="B919" t="s">
        <v>8</v>
      </c>
      <c r="C919" t="s">
        <v>20</v>
      </c>
      <c r="D919" t="s">
        <v>15</v>
      </c>
      <c r="E919" t="s">
        <v>28</v>
      </c>
      <c r="F919">
        <v>1</v>
      </c>
      <c r="G919">
        <v>1</v>
      </c>
      <c r="H919">
        <f t="shared" si="56"/>
        <v>6584</v>
      </c>
      <c r="I919">
        <v>0</v>
      </c>
      <c r="J919">
        <f t="shared" si="57"/>
        <v>0</v>
      </c>
      <c r="K919">
        <v>0</v>
      </c>
      <c r="L919">
        <f t="shared" si="58"/>
        <v>0</v>
      </c>
      <c r="M919">
        <v>0</v>
      </c>
      <c r="N919">
        <f t="shared" si="59"/>
        <v>0</v>
      </c>
    </row>
  </sheetData>
  <autoFilter ref="A1:N919">
    <sortState ref="A2:N919">
      <sortCondition ref="A1:A919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Top</vt:lpstr>
      <vt:lpstr>Weather</vt:lpstr>
      <vt:lpstr>WeatherOG</vt:lpstr>
      <vt:lpstr>Calculations</vt:lpstr>
      <vt:lpstr>Mine</vt:lpstr>
      <vt:lpstr>Weather Key</vt:lpstr>
    </vt:vector>
  </TitlesOfParts>
  <Company>Spartan Controls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Sedore</dc:creator>
  <cp:lastModifiedBy>Rhys</cp:lastModifiedBy>
  <dcterms:created xsi:type="dcterms:W3CDTF">2015-01-12T18:38:22Z</dcterms:created>
  <dcterms:modified xsi:type="dcterms:W3CDTF">2016-03-24T00:27:52Z</dcterms:modified>
</cp:coreProperties>
</file>